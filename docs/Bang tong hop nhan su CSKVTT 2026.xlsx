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hop nhan su" sheetId="1" state="visible" r:id="rId1"/>
    <sheet xmlns:r="http://schemas.openxmlformats.org/officeDocument/2006/relationships" name="BangTra" sheetId="2" state="hidden" r:id="rId2"/>
  </sheets>
  <definedNames>
    <definedName name="_xlnm._FilterDatabase" localSheetId="0" hidden="1">'Tong hop nhan su'!$A$6:$W$51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b val="1"/>
      <sz val="10"/>
      <u val="single"/>
    </font>
    <font>
      <name val="Times New Roman"/>
      <b val="1"/>
      <color rgb="001F3864"/>
      <sz val="14"/>
    </font>
    <font>
      <name val="Times New Roman"/>
      <i val="1"/>
      <sz val="10"/>
    </font>
    <font>
      <name val="Times New Roman"/>
      <b val="1"/>
      <color rgb="00FFFFFF"/>
      <sz val="10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9" customWidth="1" min="2" max="2"/>
    <col width="24" customWidth="1" min="3" max="3"/>
    <col width="8" customWidth="1" min="4" max="4"/>
    <col width="12" customWidth="1" min="5" max="5"/>
    <col width="18" customWidth="1" min="6" max="6"/>
    <col width="14" customWidth="1" min="7" max="7"/>
    <col width="11" customWidth="1" min="8" max="8"/>
    <col width="16" customWidth="1" min="9" max="9"/>
    <col width="12" customWidth="1" min="10" max="10"/>
    <col width="12" customWidth="1" min="11" max="11"/>
    <col width="11" customWidth="1" min="12" max="12"/>
    <col width="15" customWidth="1" min="13" max="13"/>
    <col width="12" customWidth="1" min="14" max="14"/>
    <col width="30" customWidth="1" min="15" max="15"/>
    <col width="13" customWidth="1" min="16" max="16"/>
    <col width="38" customWidth="1" min="17" max="17"/>
    <col width="32" customWidth="1" min="18" max="18"/>
    <col width="34" customWidth="1" min="19" max="19"/>
    <col width="13" customWidth="1" min="20" max="20"/>
    <col width="16" customWidth="1" min="21" max="21"/>
    <col width="18" customWidth="1" min="22" max="22"/>
    <col width="11" customWidth="1" min="23" max="23"/>
  </cols>
  <sheetData>
    <row r="1">
      <c r="A1" s="1" t="inlineStr">
        <is>
          <t>CÔNG TY CỔ PHẦN CHIẾU SÁNG CÔNG CỘNG TP.HCM</t>
        </is>
      </c>
    </row>
    <row r="2">
      <c r="A2" s="2" t="inlineStr">
        <is>
          <t>CHIẾU SÁNG KHU VỰC TRUNG TÂM</t>
        </is>
      </c>
    </row>
    <row r="3">
      <c r="D3" s="3" t="inlineStr">
        <is>
          <t>BẢNG TỔNG HỢP NHÂN SỰ &amp; HỆ SỐ LƯƠNG NĂNG SUẤT - CSKVTT</t>
        </is>
      </c>
    </row>
    <row r="4">
      <c r="D4" s="4" t="inlineStr">
        <is>
          <t>Cập nhật: tháng 6/2026  •  Tổng số: 45 người  •  Hệ số tự tính theo Điểm năng suất (Bảng tra 2026)</t>
        </is>
      </c>
    </row>
    <row r="6" ht="32" customHeight="1">
      <c r="A6" s="5" t="inlineStr">
        <is>
          <t>Stt</t>
        </is>
      </c>
      <c r="B6" s="5" t="inlineStr">
        <is>
          <t>MSNV</t>
        </is>
      </c>
      <c r="C6" s="5" t="inlineStr">
        <is>
          <t>Họ và tên</t>
        </is>
      </c>
      <c r="D6" s="5" t="inlineStr">
        <is>
          <t>Giới tính</t>
        </is>
      </c>
      <c r="E6" s="5" t="inlineStr">
        <is>
          <t>Ngày sinh</t>
        </is>
      </c>
      <c r="F6" s="5" t="inlineStr">
        <is>
          <t>Chức vụ</t>
        </is>
      </c>
      <c r="G6" s="5" t="inlineStr">
        <is>
          <t>Loại vị trí NS</t>
        </is>
      </c>
      <c r="H6" s="5" t="inlineStr">
        <is>
          <t>Điểm năng suất</t>
        </is>
      </c>
      <c r="I6" s="5" t="inlineStr">
        <is>
          <t>Xếp loại</t>
        </is>
      </c>
      <c r="J6" s="5" t="inlineStr">
        <is>
          <t>Hệ số lương NS</t>
        </is>
      </c>
      <c r="K6" s="5" t="inlineStr">
        <is>
          <t>Nhóm/Đội</t>
        </is>
      </c>
      <c r="L6" s="5" t="inlineStr">
        <is>
          <t>Khối</t>
        </is>
      </c>
      <c r="M6" s="5" t="inlineStr">
        <is>
          <t>Số CCCD</t>
        </is>
      </c>
      <c r="N6" s="5" t="inlineStr">
        <is>
          <t>Ngày cấp</t>
        </is>
      </c>
      <c r="O6" s="5" t="inlineStr">
        <is>
          <t>Nơi cấp CCCD</t>
        </is>
      </c>
      <c r="P6" s="5" t="inlineStr">
        <is>
          <t>Quê quán</t>
        </is>
      </c>
      <c r="Q6" s="5" t="inlineStr">
        <is>
          <t>Địa chỉ thường trú</t>
        </is>
      </c>
      <c r="R6" s="5" t="inlineStr">
        <is>
          <t>Địa chỉ tạm trú</t>
        </is>
      </c>
      <c r="S6" s="5" t="inlineStr">
        <is>
          <t>Bằng cấp, chuyên môn</t>
        </is>
      </c>
      <c r="T6" s="5" t="inlineStr">
        <is>
          <t>Số điện thoại</t>
        </is>
      </c>
      <c r="U6" s="5" t="inlineStr">
        <is>
          <t>Email</t>
        </is>
      </c>
      <c r="V6" s="5" t="inlineStr">
        <is>
          <t>Số thẻ BHYT</t>
        </is>
      </c>
      <c r="W6" s="5" t="inlineStr">
        <is>
          <t>Đảng viên</t>
        </is>
      </c>
    </row>
    <row r="7">
      <c r="A7" s="6" t="n">
        <v>1</v>
      </c>
      <c r="B7" s="6" t="inlineStr">
        <is>
          <t>L2085</t>
        </is>
      </c>
      <c r="C7" s="7" t="inlineStr">
        <is>
          <t>Mai Vũ Lâm</t>
        </is>
      </c>
      <c r="D7" s="6" t="inlineStr">
        <is>
          <t>Nam</t>
        </is>
      </c>
      <c r="E7" s="6" t="inlineStr">
        <is>
          <t>15/07/1982</t>
        </is>
      </c>
      <c r="F7" s="6" t="inlineStr">
        <is>
          <t>GĐ CSKVTT</t>
        </is>
      </c>
      <c r="G7" s="6" t="inlineStr">
        <is>
          <t>CN/NV thường</t>
        </is>
      </c>
      <c r="H7" s="8" t="n"/>
      <c r="I7" s="8">
        <f>IF($H7="","",IF($H7&gt;=90,"Xuất sắc (A+)",IF($H7&gt;=85,"Giỏi (A)",IF($H7&gt;=80,"Tốt (A-)",IF($H7&gt;=75,"Khá (B+)",IF($H7&gt;=70,"Khá (B)",IF($H7&gt;=65,"Khá (B-)",IF($H7&gt;=60,"Trung bình (C+)",IF($H7&gt;=55,"Trung bình (C)",IF($H7&gt;=50,"Yếu (D)","Không đạt (F)"))))))))))</f>
        <v/>
      </c>
      <c r="J7" s="8">
        <f>IF($H7="","",INDEX(BangTra!$B$2:$D$11,MATCH($H7,BangTra!$A$2:$A$11,1),IF($G7="Đội trưởng",3,IF($G7="Đội phó",2,1))))</f>
        <v/>
      </c>
      <c r="K7" s="6" t="inlineStr">
        <is>
          <t>CSKV B</t>
        </is>
      </c>
      <c r="L7" s="6" t="inlineStr">
        <is>
          <t>Gián tiếp</t>
        </is>
      </c>
      <c r="M7" s="6" t="inlineStr">
        <is>
          <t>074082002081</t>
        </is>
      </c>
      <c r="N7" s="6" t="inlineStr">
        <is>
          <t>25/04/2021</t>
        </is>
      </c>
      <c r="O7" s="7" t="inlineStr">
        <is>
          <t>Cục trưởng cục cảnh sát - Quản lý hành chính về trật tự xã hội</t>
        </is>
      </c>
      <c r="P7" s="9" t="inlineStr">
        <is>
          <t>Bình Dương</t>
        </is>
      </c>
      <c r="Q7" s="7" t="inlineStr">
        <is>
          <t>63/23A, Liên Khu 16-18, Bình Trị Đông, Bình Tân</t>
        </is>
      </c>
      <c r="R7" s="7" t="inlineStr"/>
      <c r="S7" s="7" t="inlineStr">
        <is>
          <t>Kỹ sư Điện - Điện tử</t>
        </is>
      </c>
      <c r="T7" s="6" t="inlineStr">
        <is>
          <t>0989725507</t>
        </is>
      </c>
      <c r="U7" s="9" t="inlineStr"/>
      <c r="V7" s="6" t="inlineStr">
        <is>
          <t>DN4790205173644</t>
        </is>
      </c>
      <c r="W7" s="6" t="inlineStr">
        <is>
          <t>Đảng viên</t>
        </is>
      </c>
    </row>
    <row r="8">
      <c r="A8" s="10" t="n">
        <v>2</v>
      </c>
      <c r="B8" s="10" t="inlineStr">
        <is>
          <t>H1930</t>
        </is>
      </c>
      <c r="C8" s="11" t="inlineStr">
        <is>
          <t>MẠCH NGỌC HUY</t>
        </is>
      </c>
      <c r="D8" s="10" t="inlineStr">
        <is>
          <t>Nam</t>
        </is>
      </c>
      <c r="E8" s="10" t="inlineStr">
        <is>
          <t>16/03/1971</t>
        </is>
      </c>
      <c r="F8" s="10" t="inlineStr">
        <is>
          <t>P.GĐ CSKVTT</t>
        </is>
      </c>
      <c r="G8" s="10" t="inlineStr">
        <is>
          <t>CN/NV thường</t>
        </is>
      </c>
      <c r="H8" s="8" t="n"/>
      <c r="I8" s="8">
        <f>IF($H8="","",IF($H8&gt;=90,"Xuất sắc (A+)",IF($H8&gt;=85,"Giỏi (A)",IF($H8&gt;=80,"Tốt (A-)",IF($H8&gt;=75,"Khá (B+)",IF($H8&gt;=70,"Khá (B)",IF($H8&gt;=65,"Khá (B-)",IF($H8&gt;=60,"Trung bình (C+)",IF($H8&gt;=55,"Trung bình (C)",IF($H8&gt;=50,"Yếu (D)","Không đạt (F)"))))))))))</f>
        <v/>
      </c>
      <c r="J8" s="8">
        <f>IF($H8="","",INDEX(BangTra!$B$2:$D$11,MATCH($H8,BangTra!$A$2:$A$11,1),IF($G8="Đội trưởng",3,IF($G8="Đội phó",2,1))))</f>
        <v/>
      </c>
      <c r="K8" s="10" t="inlineStr">
        <is>
          <t>CSKV TT</t>
        </is>
      </c>
      <c r="L8" s="10" t="inlineStr"/>
      <c r="M8" s="10" t="inlineStr">
        <is>
          <t>066071000720</t>
        </is>
      </c>
      <c r="N8" s="10" t="inlineStr">
        <is>
          <t>25/04/2021</t>
        </is>
      </c>
      <c r="O8" s="11" t="inlineStr">
        <is>
          <t>Cục trưởng cục cảnh sát - Quản lý hành chính về trật tự xã hội</t>
        </is>
      </c>
      <c r="P8" s="12" t="inlineStr">
        <is>
          <t>Bến Tre</t>
        </is>
      </c>
      <c r="Q8" s="11" t="inlineStr">
        <is>
          <t>Số 018 Lô H Chung cư Nguyễn Thiện Thuật, phường 1, quận 3, Tp.HCM</t>
        </is>
      </c>
      <c r="R8" s="11" t="inlineStr"/>
      <c r="S8" s="11" t="inlineStr">
        <is>
          <t>Kỹ sư công nghiệp ngành Công nghiệp nông thôn</t>
        </is>
      </c>
      <c r="T8" s="10" t="inlineStr">
        <is>
          <t>0988530750</t>
        </is>
      </c>
      <c r="U8" s="12" t="inlineStr"/>
      <c r="V8" s="10" t="inlineStr">
        <is>
          <t>DN4790299047048</t>
        </is>
      </c>
      <c r="W8" s="10" t="inlineStr">
        <is>
          <t>Đảng viên</t>
        </is>
      </c>
    </row>
    <row r="9">
      <c r="A9" s="6" t="n">
        <v>3</v>
      </c>
      <c r="B9" s="6" t="inlineStr">
        <is>
          <t>H1830</t>
        </is>
      </c>
      <c r="C9" s="7" t="inlineStr">
        <is>
          <t>LÊ VĂN HÙNG</t>
        </is>
      </c>
      <c r="D9" s="6" t="inlineStr">
        <is>
          <t>Nam</t>
        </is>
      </c>
      <c r="E9" s="6" t="inlineStr">
        <is>
          <t>14/08/1970</t>
        </is>
      </c>
      <c r="F9" s="6" t="inlineStr">
        <is>
          <t>GĐ XNCS Chợ Lớn</t>
        </is>
      </c>
      <c r="G9" s="6" t="inlineStr">
        <is>
          <t>CN/NV thường</t>
        </is>
      </c>
      <c r="H9" s="8" t="n"/>
      <c r="I9" s="8">
        <f>IF($H9="","",IF($H9&gt;=90,"Xuất sắc (A+)",IF($H9&gt;=85,"Giỏi (A)",IF($H9&gt;=80,"Tốt (A-)",IF($H9&gt;=75,"Khá (B+)",IF($H9&gt;=70,"Khá (B)",IF($H9&gt;=65,"Khá (B-)",IF($H9&gt;=60,"Trung bình (C+)",IF($H9&gt;=55,"Trung bình (C)",IF($H9&gt;=50,"Yếu (D)","Không đạt (F)"))))))))))</f>
        <v/>
      </c>
      <c r="J9" s="8">
        <f>IF($H9="","",INDEX(BangTra!$B$2:$D$11,MATCH($H9,BangTra!$A$2:$A$11,1),IF($G9="Đội trưởng",3,IF($G9="Đội phó",2,1))))</f>
        <v/>
      </c>
      <c r="K9" s="6" t="inlineStr">
        <is>
          <t>CSKV TT</t>
        </is>
      </c>
      <c r="L9" s="6" t="inlineStr"/>
      <c r="M9" s="6" t="inlineStr">
        <is>
          <t>082070000970</t>
        </is>
      </c>
      <c r="N9" s="6" t="inlineStr">
        <is>
          <t>07/04/2021</t>
        </is>
      </c>
      <c r="O9" s="7" t="inlineStr">
        <is>
          <t>Cục trưởng cục cảnh sát - Quản lý hành chính về trật tự xã hội</t>
        </is>
      </c>
      <c r="P9" s="9" t="inlineStr">
        <is>
          <t>Tiền Giang</t>
        </is>
      </c>
      <c r="Q9" s="7" t="inlineStr">
        <is>
          <t>Số B1-19-01, Chung cư CityGate - Số 15 Võ Văn Kiệt, phường 16, quận 8, Tp.HCM</t>
        </is>
      </c>
      <c r="R9" s="7" t="inlineStr"/>
      <c r="S9" s="7" t="inlineStr">
        <is>
          <t>Cử nhân Quản trị Kinh doanh, Kỹ sư Điện - Điện tử - Ngành Điện năng</t>
        </is>
      </c>
      <c r="T9" s="6" t="inlineStr">
        <is>
          <t>0909611868</t>
        </is>
      </c>
      <c r="U9" s="9" t="inlineStr"/>
      <c r="V9" s="6" t="inlineStr">
        <is>
          <t>DN4790298103351</t>
        </is>
      </c>
      <c r="W9" s="6" t="inlineStr"/>
    </row>
    <row r="10">
      <c r="A10" s="10" t="n">
        <v>4</v>
      </c>
      <c r="B10" s="10" t="inlineStr">
        <is>
          <t>T3205</t>
        </is>
      </c>
      <c r="C10" s="11" t="inlineStr">
        <is>
          <t>LÊ TÔN QUANG THỨC</t>
        </is>
      </c>
      <c r="D10" s="10" t="inlineStr">
        <is>
          <t>Nam</t>
        </is>
      </c>
      <c r="E10" s="10" t="inlineStr">
        <is>
          <t>16/09/1979</t>
        </is>
      </c>
      <c r="F10" s="10" t="inlineStr">
        <is>
          <t>GĐ BKHĐT</t>
        </is>
      </c>
      <c r="G10" s="10" t="inlineStr">
        <is>
          <t>CN/NV thường</t>
        </is>
      </c>
      <c r="H10" s="8" t="n"/>
      <c r="I10" s="8">
        <f>IF($H10="","",IF($H10&gt;=90,"Xuất sắc (A+)",IF($H10&gt;=85,"Giỏi (A)",IF($H10&gt;=80,"Tốt (A-)",IF($H10&gt;=75,"Khá (B+)",IF($H10&gt;=70,"Khá (B)",IF($H10&gt;=65,"Khá (B-)",IF($H10&gt;=60,"Trung bình (C+)",IF($H10&gt;=55,"Trung bình (C)",IF($H10&gt;=50,"Yếu (D)","Không đạt (F)"))))))))))</f>
        <v/>
      </c>
      <c r="J10" s="8">
        <f>IF($H10="","",INDEX(BangTra!$B$2:$D$11,MATCH($H10,BangTra!$A$2:$A$11,1),IF($G10="Đội trưởng",3,IF($G10="Đội phó",2,1))))</f>
        <v/>
      </c>
      <c r="K10" s="10" t="inlineStr">
        <is>
          <t>CSKV TT</t>
        </is>
      </c>
      <c r="L10" s="10" t="inlineStr"/>
      <c r="M10" s="10" t="inlineStr">
        <is>
          <t>051079000041</t>
        </is>
      </c>
      <c r="N10" s="10" t="inlineStr">
        <is>
          <t>22/12/2021</t>
        </is>
      </c>
      <c r="O10" s="11" t="inlineStr">
        <is>
          <t>Cục trưởng cục cảnh sát - Quản lý hành chính về trật tự xã hội</t>
        </is>
      </c>
      <c r="P10" s="12" t="inlineStr">
        <is>
          <t>Quảng Ngãi</t>
        </is>
      </c>
      <c r="Q10" s="11" t="inlineStr">
        <is>
          <t>Số 2683A/9B, đường Phạm Thế Hiển, phường 7, quận 8, Tp.HCM</t>
        </is>
      </c>
      <c r="R10" s="11" t="inlineStr"/>
      <c r="S10" s="11" t="inlineStr">
        <is>
          <t>Kỹ sư Điện ngành điện công nghiệp</t>
        </is>
      </c>
      <c r="T10" s="10" t="inlineStr">
        <is>
          <t>0989365522</t>
        </is>
      </c>
      <c r="U10" s="12" t="inlineStr"/>
      <c r="V10" s="10" t="inlineStr">
        <is>
          <t>DN4790205173648</t>
        </is>
      </c>
      <c r="W10" s="10" t="inlineStr"/>
    </row>
    <row r="11">
      <c r="A11" s="6" t="n">
        <v>5</v>
      </c>
      <c r="B11" s="6" t="inlineStr">
        <is>
          <t>L2235</t>
        </is>
      </c>
      <c r="C11" s="7" t="inlineStr">
        <is>
          <t>TRẦN HỮU LƯU</t>
        </is>
      </c>
      <c r="D11" s="6" t="inlineStr">
        <is>
          <t>Nam</t>
        </is>
      </c>
      <c r="E11" s="6" t="inlineStr">
        <is>
          <t>20/07/1971</t>
        </is>
      </c>
      <c r="F11" s="6" t="inlineStr">
        <is>
          <t>GĐ XNCS Sài Gòn</t>
        </is>
      </c>
      <c r="G11" s="6" t="inlineStr">
        <is>
          <t>CN/NV thường</t>
        </is>
      </c>
      <c r="H11" s="8" t="n"/>
      <c r="I11" s="8">
        <f>IF($H11="","",IF($H11&gt;=90,"Xuất sắc (A+)",IF($H11&gt;=85,"Giỏi (A)",IF($H11&gt;=80,"Tốt (A-)",IF($H11&gt;=75,"Khá (B+)",IF($H11&gt;=70,"Khá (B)",IF($H11&gt;=65,"Khá (B-)",IF($H11&gt;=60,"Trung bình (C+)",IF($H11&gt;=55,"Trung bình (C)",IF($H11&gt;=50,"Yếu (D)","Không đạt (F)"))))))))))</f>
        <v/>
      </c>
      <c r="J11" s="8">
        <f>IF($H11="","",INDEX(BangTra!$B$2:$D$11,MATCH($H11,BangTra!$A$2:$A$11,1),IF($G11="Đội trưởng",3,IF($G11="Đội phó",2,1))))</f>
        <v/>
      </c>
      <c r="K11" s="6" t="inlineStr">
        <is>
          <t>CSKV TT</t>
        </is>
      </c>
      <c r="L11" s="6" t="inlineStr"/>
      <c r="M11" s="6" t="inlineStr">
        <is>
          <t>044071009619</t>
        </is>
      </c>
      <c r="N11" s="6" t="inlineStr">
        <is>
          <t>10/02/2022</t>
        </is>
      </c>
      <c r="O11" s="7" t="inlineStr">
        <is>
          <t>Cục trưởng cục cảnh sát - Quản lý hành chính về trật tự xã hội</t>
        </is>
      </c>
      <c r="P11" s="9" t="inlineStr">
        <is>
          <t>Quảng Bình</t>
        </is>
      </c>
      <c r="Q11" s="7" t="inlineStr">
        <is>
          <t>Số 2A, Đường số 44, phường Hiệp Bình Chánh, Thành phố Thủ Đức, Tp.HCM</t>
        </is>
      </c>
      <c r="R11" s="7" t="inlineStr">
        <is>
          <t>Số 417/49/96, đường Quang Trung, phường 10, quận Gò Vấp, Tp.HCM</t>
        </is>
      </c>
      <c r="S11" s="7" t="inlineStr">
        <is>
          <t>Kỹ sư ngành điện kỹ thuật</t>
        </is>
      </c>
      <c r="T11" s="6" t="inlineStr">
        <is>
          <t>0914287419</t>
        </is>
      </c>
      <c r="U11" s="9" t="inlineStr"/>
      <c r="V11" s="6" t="inlineStr">
        <is>
          <t>DN4790205173649</t>
        </is>
      </c>
      <c r="W11" s="6" t="inlineStr"/>
    </row>
    <row r="12">
      <c r="A12" s="10" t="n">
        <v>6</v>
      </c>
      <c r="B12" s="10" t="inlineStr">
        <is>
          <t>H1840</t>
        </is>
      </c>
      <c r="C12" s="11" t="inlineStr">
        <is>
          <t>LÊ VĂN HÙNG</t>
        </is>
      </c>
      <c r="D12" s="10" t="inlineStr">
        <is>
          <t>Nam</t>
        </is>
      </c>
      <c r="E12" s="10" t="inlineStr">
        <is>
          <t>22/08/1981</t>
        </is>
      </c>
      <c r="F12" s="10" t="inlineStr">
        <is>
          <t>Cán sự</t>
        </is>
      </c>
      <c r="G12" s="10" t="inlineStr">
        <is>
          <t>CN/NV thường</t>
        </is>
      </c>
      <c r="H12" s="8" t="n"/>
      <c r="I12" s="8">
        <f>IF($H12="","",IF($H12&gt;=90,"Xuất sắc (A+)",IF($H12&gt;=85,"Giỏi (A)",IF($H12&gt;=80,"Tốt (A-)",IF($H12&gt;=75,"Khá (B+)",IF($H12&gt;=70,"Khá (B)",IF($H12&gt;=65,"Khá (B-)",IF($H12&gt;=60,"Trung bình (C+)",IF($H12&gt;=55,"Trung bình (C)",IF($H12&gt;=50,"Yếu (D)","Không đạt (F)"))))))))))</f>
        <v/>
      </c>
      <c r="J12" s="8">
        <f>IF($H12="","",INDEX(BangTra!$B$2:$D$11,MATCH($H12,BangTra!$A$2:$A$11,1),IF($G12="Đội trưởng",3,IF($G12="Đội phó",2,1))))</f>
        <v/>
      </c>
      <c r="K12" s="10" t="inlineStr">
        <is>
          <t>CSKV TT</t>
        </is>
      </c>
      <c r="L12" s="10" t="inlineStr"/>
      <c r="M12" s="10" t="inlineStr">
        <is>
          <t>172161582</t>
        </is>
      </c>
      <c r="N12" s="10" t="inlineStr">
        <is>
          <t>19/01/2016</t>
        </is>
      </c>
      <c r="O12" s="11" t="inlineStr">
        <is>
          <t>CA Thanh Hóa</t>
        </is>
      </c>
      <c r="P12" s="12" t="inlineStr">
        <is>
          <t>Thanh Hoá</t>
        </is>
      </c>
      <c r="Q12" s="11" t="inlineStr">
        <is>
          <t>Xã Triêu Dương, huyện Tĩnh Gia, tỉnh Thanh Hóa (Số 331/12A Trần Xuân Soạn, phường Tân Kiểng, Quận 7 chưa xác nhận lại thẻ CCCD)</t>
        </is>
      </c>
      <c r="R12" s="11" t="inlineStr"/>
      <c r="S12" s="11" t="inlineStr">
        <is>
          <t>Cử nhân Cao đẳng ngành điện công nghiệp</t>
        </is>
      </c>
      <c r="T12" s="10" t="inlineStr">
        <is>
          <t>0974749700</t>
        </is>
      </c>
      <c r="U12" s="12" t="inlineStr"/>
      <c r="V12" s="10" t="inlineStr">
        <is>
          <t>DN4790204008660</t>
        </is>
      </c>
      <c r="W12" s="10" t="inlineStr"/>
    </row>
    <row r="13">
      <c r="A13" s="6" t="n">
        <v>7</v>
      </c>
      <c r="B13" s="6" t="inlineStr">
        <is>
          <t>N2400</t>
        </is>
      </c>
      <c r="C13" s="7" t="inlineStr">
        <is>
          <t>NGUYỄN QUANG NGHĨA</t>
        </is>
      </c>
      <c r="D13" s="6" t="inlineStr">
        <is>
          <t>Nam</t>
        </is>
      </c>
      <c r="E13" s="6" t="inlineStr">
        <is>
          <t>25/12/1982</t>
        </is>
      </c>
      <c r="F13" s="6" t="inlineStr">
        <is>
          <t>CHUYÊN VIÊN</t>
        </is>
      </c>
      <c r="G13" s="6" t="inlineStr">
        <is>
          <t>CN/NV thường</t>
        </is>
      </c>
      <c r="H13" s="8" t="n"/>
      <c r="I13" s="8">
        <f>IF($H13="","",IF($H13&gt;=90,"Xuất sắc (A+)",IF($H13&gt;=85,"Giỏi (A)",IF($H13&gt;=80,"Tốt (A-)",IF($H13&gt;=75,"Khá (B+)",IF($H13&gt;=70,"Khá (B)",IF($H13&gt;=65,"Khá (B-)",IF($H13&gt;=60,"Trung bình (C+)",IF($H13&gt;=55,"Trung bình (C)",IF($H13&gt;=50,"Yếu (D)","Không đạt (F)"))))))))))</f>
        <v/>
      </c>
      <c r="J13" s="8">
        <f>IF($H13="","",INDEX(BangTra!$B$2:$D$11,MATCH($H13,BangTra!$A$2:$A$11,1),IF($G13="Đội trưởng",3,IF($G13="Đội phó",2,1))))</f>
        <v/>
      </c>
      <c r="K13" s="6" t="inlineStr">
        <is>
          <t>CSKV TT</t>
        </is>
      </c>
      <c r="L13" s="6" t="inlineStr"/>
      <c r="M13" s="6" t="inlineStr">
        <is>
          <t>036082028338</t>
        </is>
      </c>
      <c r="N13" s="6" t="inlineStr">
        <is>
          <t>10/08/2021</t>
        </is>
      </c>
      <c r="O13" s="7" t="inlineStr">
        <is>
          <t>Cục trưởng cục cảnh sát - Quản lý hành chính về trật tự xã hội</t>
        </is>
      </c>
      <c r="P13" s="9" t="inlineStr">
        <is>
          <t>Thái Bình</t>
        </is>
      </c>
      <c r="Q13" s="7" t="inlineStr">
        <is>
          <t>Số 225/34, đường Thoại Ngọc Thầu, phường Phú Thạnh, quận Tân Phú, Tp.HCM</t>
        </is>
      </c>
      <c r="R13" s="7" t="inlineStr"/>
      <c r="S13" s="7" t="inlineStr">
        <is>
          <t>Kỹ sư ngành điện công nghiệp</t>
        </is>
      </c>
      <c r="T13" s="6" t="inlineStr">
        <is>
          <t>0985579536</t>
        </is>
      </c>
      <c r="U13" s="9" t="inlineStr"/>
      <c r="V13" s="6" t="inlineStr">
        <is>
          <t>DN4797909175633</t>
        </is>
      </c>
      <c r="W13" s="6" t="inlineStr"/>
    </row>
    <row r="14">
      <c r="A14" s="10" t="n">
        <v>8</v>
      </c>
      <c r="B14" s="10" t="inlineStr">
        <is>
          <t>T4245</t>
        </is>
      </c>
      <c r="C14" s="11" t="inlineStr">
        <is>
          <t>PHẠM VĂN TÍNH</t>
        </is>
      </c>
      <c r="D14" s="10" t="inlineStr">
        <is>
          <t>Nam</t>
        </is>
      </c>
      <c r="E14" s="10" t="inlineStr">
        <is>
          <t>11/09/1990</t>
        </is>
      </c>
      <c r="F14" s="10" t="inlineStr">
        <is>
          <t>CÔNG NHÂN</t>
        </is>
      </c>
      <c r="G14" s="10" t="inlineStr">
        <is>
          <t>CN/NV thường</t>
        </is>
      </c>
      <c r="H14" s="8" t="n"/>
      <c r="I14" s="8">
        <f>IF($H14="","",IF($H14&gt;=90,"Xuất sắc (A+)",IF($H14&gt;=85,"Giỏi (A)",IF($H14&gt;=80,"Tốt (A-)",IF($H14&gt;=75,"Khá (B+)",IF($H14&gt;=70,"Khá (B)",IF($H14&gt;=65,"Khá (B-)",IF($H14&gt;=60,"Trung bình (C+)",IF($H14&gt;=55,"Trung bình (C)",IF($H14&gt;=50,"Yếu (D)","Không đạt (F)"))))))))))</f>
        <v/>
      </c>
      <c r="J14" s="8">
        <f>IF($H14="","",INDEX(BangTra!$B$2:$D$11,MATCH($H14,BangTra!$A$2:$A$11,1),IF($G14="Đội trưởng",3,IF($G14="Đội phó",2,1))))</f>
        <v/>
      </c>
      <c r="K14" s="10" t="inlineStr">
        <is>
          <t>CSKV TT</t>
        </is>
      </c>
      <c r="L14" s="10" t="inlineStr"/>
      <c r="M14" s="10" t="inlineStr">
        <is>
          <t>371341014</t>
        </is>
      </c>
      <c r="N14" s="10" t="inlineStr">
        <is>
          <t>25/03/2019</t>
        </is>
      </c>
      <c r="O14" s="11" t="inlineStr">
        <is>
          <t>CA Kiên Giang</t>
        </is>
      </c>
      <c r="P14" s="12" t="inlineStr">
        <is>
          <t>Kiên Giang</t>
        </is>
      </c>
      <c r="Q14" s="11" t="inlineStr">
        <is>
          <t>Ấp Kinh I, xã Hòa Điền, huyện Kiên Lương, tỉnh Kiên Giang</t>
        </is>
      </c>
      <c r="R14" s="11" t="inlineStr">
        <is>
          <t>Số E12/355G, Quốc Lộ 50, Ấp 5, xã Phong Phú, huyện Bình Chánh, Tp.HCM</t>
        </is>
      </c>
      <c r="S14" s="11" t="inlineStr">
        <is>
          <t>Kỹ sư Công nghệ kỹ thuật Điện, điện tử</t>
        </is>
      </c>
      <c r="T14" s="10" t="inlineStr">
        <is>
          <t>0763968388</t>
        </is>
      </c>
      <c r="U14" s="12" t="inlineStr"/>
      <c r="V14" s="10" t="inlineStr">
        <is>
          <t>DN4797913099831</t>
        </is>
      </c>
      <c r="W14" s="10" t="inlineStr"/>
    </row>
    <row r="15">
      <c r="A15" s="6" t="n">
        <v>9</v>
      </c>
      <c r="B15" s="6" t="inlineStr">
        <is>
          <t>V3600</t>
        </is>
      </c>
      <c r="C15" s="7" t="inlineStr">
        <is>
          <t>PHẠM TẤN VIỆT</t>
        </is>
      </c>
      <c r="D15" s="6" t="inlineStr">
        <is>
          <t>Nam</t>
        </is>
      </c>
      <c r="E15" s="6" t="inlineStr">
        <is>
          <t>14/05/1976</t>
        </is>
      </c>
      <c r="F15" s="6" t="inlineStr">
        <is>
          <t>CHUYÊN VIÊN</t>
        </is>
      </c>
      <c r="G15" s="6" t="inlineStr">
        <is>
          <t>CN/NV thường</t>
        </is>
      </c>
      <c r="H15" s="8" t="n"/>
      <c r="I15" s="8">
        <f>IF($H15="","",IF($H15&gt;=90,"Xuất sắc (A+)",IF($H15&gt;=85,"Giỏi (A)",IF($H15&gt;=80,"Tốt (A-)",IF($H15&gt;=75,"Khá (B+)",IF($H15&gt;=70,"Khá (B)",IF($H15&gt;=65,"Khá (B-)",IF($H15&gt;=60,"Trung bình (C+)",IF($H15&gt;=55,"Trung bình (C)",IF($H15&gt;=50,"Yếu (D)","Không đạt (F)"))))))))))</f>
        <v/>
      </c>
      <c r="J15" s="8">
        <f>IF($H15="","",INDEX(BangTra!$B$2:$D$11,MATCH($H15,BangTra!$A$2:$A$11,1),IF($G15="Đội trưởng",3,IF($G15="Đội phó",2,1))))</f>
        <v/>
      </c>
      <c r="K15" s="6" t="inlineStr">
        <is>
          <t>CSKV TT</t>
        </is>
      </c>
      <c r="L15" s="6" t="inlineStr"/>
      <c r="M15" s="6" t="inlineStr">
        <is>
          <t>091076002553</t>
        </is>
      </c>
      <c r="N15" s="6" t="inlineStr">
        <is>
          <t>13/02/2022</t>
        </is>
      </c>
      <c r="O15" s="7" t="inlineStr">
        <is>
          <t>Cục trưởng cục cảnh sát - Quản lý hành chính về trật tự xã hội</t>
        </is>
      </c>
      <c r="P15" s="9" t="inlineStr">
        <is>
          <t>Kiên Giang</t>
        </is>
      </c>
      <c r="Q15" s="7" t="inlineStr">
        <is>
          <t>Tổ 1, KP Kiên Tân, Thị trấn Kiên Lương, tỉnh Kiên Giang</t>
        </is>
      </c>
      <c r="R15" s="7" t="inlineStr">
        <is>
          <t>Số 001 C1 Chung cư Ba Tơ, phường 7, quận 8, Tp.HCM</t>
        </is>
      </c>
      <c r="S15" s="7" t="inlineStr">
        <is>
          <t>Kỹ sư ngành điện-điện tử</t>
        </is>
      </c>
      <c r="T15" s="6" t="inlineStr">
        <is>
          <t>0938678477</t>
        </is>
      </c>
      <c r="U15" s="9" t="inlineStr"/>
      <c r="V15" s="6" t="inlineStr">
        <is>
          <t>DN4797909175636</t>
        </is>
      </c>
      <c r="W15" s="6" t="inlineStr"/>
    </row>
    <row r="16">
      <c r="A16" s="10" t="n">
        <v>10</v>
      </c>
      <c r="B16" s="10" t="inlineStr">
        <is>
          <t>P4250</t>
        </is>
      </c>
      <c r="C16" s="11" t="inlineStr">
        <is>
          <t>LÊ HỒNG PHÚC</t>
        </is>
      </c>
      <c r="D16" s="10" t="inlineStr">
        <is>
          <t>Nam</t>
        </is>
      </c>
      <c r="E16" s="10" t="inlineStr">
        <is>
          <t>29/09/1992</t>
        </is>
      </c>
      <c r="F16" s="10" t="inlineStr">
        <is>
          <t>CHUYÊN VIÊN</t>
        </is>
      </c>
      <c r="G16" s="10" t="inlineStr">
        <is>
          <t>CN/NV thường</t>
        </is>
      </c>
      <c r="H16" s="8" t="n"/>
      <c r="I16" s="8">
        <f>IF($H16="","",IF($H16&gt;=90,"Xuất sắc (A+)",IF($H16&gt;=85,"Giỏi (A)",IF($H16&gt;=80,"Tốt (A-)",IF($H16&gt;=75,"Khá (B+)",IF($H16&gt;=70,"Khá (B)",IF($H16&gt;=65,"Khá (B-)",IF($H16&gt;=60,"Trung bình (C+)",IF($H16&gt;=55,"Trung bình (C)",IF($H16&gt;=50,"Yếu (D)","Không đạt (F)"))))))))))</f>
        <v/>
      </c>
      <c r="J16" s="8">
        <f>IF($H16="","",INDEX(BangTra!$B$2:$D$11,MATCH($H16,BangTra!$A$2:$A$11,1),IF($G16="Đội trưởng",3,IF($G16="Đội phó",2,1))))</f>
        <v/>
      </c>
      <c r="K16" s="10" t="inlineStr">
        <is>
          <t>CSKV TT</t>
        </is>
      </c>
      <c r="L16" s="10" t="inlineStr"/>
      <c r="M16" s="10" t="inlineStr">
        <is>
          <t>312186952</t>
        </is>
      </c>
      <c r="N16" s="10" t="inlineStr">
        <is>
          <t>12/07/2010</t>
        </is>
      </c>
      <c r="O16" s="11" t="inlineStr">
        <is>
          <t>CA Tiền Giang</t>
        </is>
      </c>
      <c r="P16" s="12" t="inlineStr">
        <is>
          <t>Tiền Giang</t>
        </is>
      </c>
      <c r="Q16" s="11" t="inlineStr">
        <is>
          <t>Ấp Kinh trên, xã Bình Ân, huyện Gò Công, tỉnh Tiền Giang</t>
        </is>
      </c>
      <c r="R16" s="11" t="inlineStr"/>
      <c r="S16" s="11" t="inlineStr">
        <is>
          <t>Cao đẳng Công nghệ kỹ thuật điện, điện tử</t>
        </is>
      </c>
      <c r="T16" s="10" t="inlineStr">
        <is>
          <t>0908591556</t>
        </is>
      </c>
      <c r="U16" s="12" t="inlineStr"/>
      <c r="V16" s="10" t="inlineStr">
        <is>
          <t>DN4797915232641</t>
        </is>
      </c>
      <c r="W16" s="10" t="inlineStr"/>
    </row>
    <row r="17">
      <c r="A17" s="6" t="n">
        <v>11</v>
      </c>
      <c r="B17" s="6" t="inlineStr">
        <is>
          <t>A1015</t>
        </is>
      </c>
      <c r="C17" s="7" t="inlineStr">
        <is>
          <t>TRƯƠNG THÀNH AN</t>
        </is>
      </c>
      <c r="D17" s="6" t="inlineStr">
        <is>
          <t>Nam</t>
        </is>
      </c>
      <c r="E17" s="6" t="inlineStr">
        <is>
          <t>22/09/1987</t>
        </is>
      </c>
      <c r="F17" s="6" t="inlineStr">
        <is>
          <t>CÁN SỰ</t>
        </is>
      </c>
      <c r="G17" s="6" t="inlineStr">
        <is>
          <t>CN/NV thường</t>
        </is>
      </c>
      <c r="H17" s="8" t="n"/>
      <c r="I17" s="8">
        <f>IF($H17="","",IF($H17&gt;=90,"Xuất sắc (A+)",IF($H17&gt;=85,"Giỏi (A)",IF($H17&gt;=80,"Tốt (A-)",IF($H17&gt;=75,"Khá (B+)",IF($H17&gt;=70,"Khá (B)",IF($H17&gt;=65,"Khá (B-)",IF($H17&gt;=60,"Trung bình (C+)",IF($H17&gt;=55,"Trung bình (C)",IF($H17&gt;=50,"Yếu (D)","Không đạt (F)"))))))))))</f>
        <v/>
      </c>
      <c r="J17" s="8">
        <f>IF($H17="","",INDEX(BangTra!$B$2:$D$11,MATCH($H17,BangTra!$A$2:$A$11,1),IF($G17="Đội trưởng",3,IF($G17="Đội phó",2,1))))</f>
        <v/>
      </c>
      <c r="K17" s="6" t="inlineStr">
        <is>
          <t>CSKV TT</t>
        </is>
      </c>
      <c r="L17" s="6" t="inlineStr"/>
      <c r="M17" s="6" t="inlineStr">
        <is>
          <t>080087000787</t>
        </is>
      </c>
      <c r="N17" s="6" t="inlineStr">
        <is>
          <t>08/04/2021</t>
        </is>
      </c>
      <c r="O17" s="7" t="inlineStr">
        <is>
          <t>Cục trưởng cục cảnh sát - Quản lý hành chính về trật tự xã hội</t>
        </is>
      </c>
      <c r="P17" s="9" t="inlineStr">
        <is>
          <t>Long An</t>
        </is>
      </c>
      <c r="Q17" s="7" t="inlineStr">
        <is>
          <t>Số 120 Khu phố 3, Thị Trấn Đông Thành, huyện Đức Huệ, tỉnh Long An</t>
        </is>
      </c>
      <c r="R17" s="7" t="inlineStr"/>
      <c r="S17" s="7" t="inlineStr">
        <is>
          <t>Cao đẳng ngành Điện tử - Viễn thông</t>
        </is>
      </c>
      <c r="T17" s="6" t="inlineStr">
        <is>
          <t>0937386262</t>
        </is>
      </c>
      <c r="U17" s="9" t="inlineStr"/>
      <c r="V17" s="6" t="inlineStr">
        <is>
          <t>DN4797912144045</t>
        </is>
      </c>
      <c r="W17" s="6" t="inlineStr"/>
    </row>
    <row r="18">
      <c r="A18" s="10" t="n">
        <v>12</v>
      </c>
      <c r="B18" s="10" t="inlineStr">
        <is>
          <t>L2220</t>
        </is>
      </c>
      <c r="C18" s="11" t="inlineStr">
        <is>
          <t>CHÂU THÀNH LUÂN</t>
        </is>
      </c>
      <c r="D18" s="10" t="inlineStr">
        <is>
          <t>Nam</t>
        </is>
      </c>
      <c r="E18" s="10" t="inlineStr">
        <is>
          <t>10/12/1988</t>
        </is>
      </c>
      <c r="F18" s="10" t="inlineStr">
        <is>
          <t>CÁN SỰ</t>
        </is>
      </c>
      <c r="G18" s="10" t="inlineStr">
        <is>
          <t>CN/NV thường</t>
        </is>
      </c>
      <c r="H18" s="8" t="n"/>
      <c r="I18" s="8">
        <f>IF($H18="","",IF($H18&gt;=90,"Xuất sắc (A+)",IF($H18&gt;=85,"Giỏi (A)",IF($H18&gt;=80,"Tốt (A-)",IF($H18&gt;=75,"Khá (B+)",IF($H18&gt;=70,"Khá (B)",IF($H18&gt;=65,"Khá (B-)",IF($H18&gt;=60,"Trung bình (C+)",IF($H18&gt;=55,"Trung bình (C)",IF($H18&gt;=50,"Yếu (D)","Không đạt (F)"))))))))))</f>
        <v/>
      </c>
      <c r="J18" s="8">
        <f>IF($H18="","",INDEX(BangTra!$B$2:$D$11,MATCH($H18,BangTra!$A$2:$A$11,1),IF($G18="Đội trưởng",3,IF($G18="Đội phó",2,1))))</f>
        <v/>
      </c>
      <c r="K18" s="10" t="inlineStr">
        <is>
          <t>CSKV TT</t>
        </is>
      </c>
      <c r="L18" s="10" t="inlineStr"/>
      <c r="M18" s="10" t="inlineStr">
        <is>
          <t>215039274</t>
        </is>
      </c>
      <c r="N18" s="10" t="inlineStr">
        <is>
          <t>12/02/2011</t>
        </is>
      </c>
      <c r="O18" s="11" t="inlineStr">
        <is>
          <t>CA Bình Định</t>
        </is>
      </c>
      <c r="P18" s="12" t="inlineStr">
        <is>
          <t>Bình Định</t>
        </is>
      </c>
      <c r="Q18" s="11" t="inlineStr">
        <is>
          <t>Thôn Dĩnh Thạnh, Xã Tam Quan Bắc, huyện Hoài Nhơn, tỉnh Bình Định</t>
        </is>
      </c>
      <c r="R18" s="11" t="inlineStr"/>
      <c r="S18" s="11" t="inlineStr">
        <is>
          <t>Cao đẳng ngành tin học (Mạng máy tính)</t>
        </is>
      </c>
      <c r="T18" s="10" t="inlineStr">
        <is>
          <t>0934093219</t>
        </is>
      </c>
      <c r="U18" s="12" t="inlineStr"/>
      <c r="V18" s="10" t="inlineStr">
        <is>
          <t>DN4797912232327</t>
        </is>
      </c>
      <c r="W18" s="10" t="inlineStr"/>
    </row>
    <row r="19">
      <c r="A19" s="6" t="n">
        <v>13</v>
      </c>
      <c r="B19" s="6" t="inlineStr">
        <is>
          <t>D1340</t>
        </is>
      </c>
      <c r="C19" s="7" t="inlineStr">
        <is>
          <t>ĐỖ TIẾN ĐẠT</t>
        </is>
      </c>
      <c r="D19" s="6" t="inlineStr">
        <is>
          <t>Nam</t>
        </is>
      </c>
      <c r="E19" s="6" t="inlineStr">
        <is>
          <t>10/12/1973</t>
        </is>
      </c>
      <c r="F19" s="6" t="inlineStr">
        <is>
          <t>CÔNG NHÂN</t>
        </is>
      </c>
      <c r="G19" s="6" t="inlineStr">
        <is>
          <t>CN/NV thường</t>
        </is>
      </c>
      <c r="H19" s="8" t="n"/>
      <c r="I19" s="8">
        <f>IF($H19="","",IF($H19&gt;=90,"Xuất sắc (A+)",IF($H19&gt;=85,"Giỏi (A)",IF($H19&gt;=80,"Tốt (A-)",IF($H19&gt;=75,"Khá (B+)",IF($H19&gt;=70,"Khá (B)",IF($H19&gt;=65,"Khá (B-)",IF($H19&gt;=60,"Trung bình (C+)",IF($H19&gt;=55,"Trung bình (C)",IF($H19&gt;=50,"Yếu (D)","Không đạt (F)"))))))))))</f>
        <v/>
      </c>
      <c r="J19" s="8">
        <f>IF($H19="","",INDEX(BangTra!$B$2:$D$11,MATCH($H19,BangTra!$A$2:$A$11,1),IF($G19="Đội trưởng",3,IF($G19="Đội phó",2,1))))</f>
        <v/>
      </c>
      <c r="K19" s="6" t="inlineStr">
        <is>
          <t>CSKV TT</t>
        </is>
      </c>
      <c r="L19" s="6" t="inlineStr"/>
      <c r="M19" s="6" t="inlineStr">
        <is>
          <t>079073033879</t>
        </is>
      </c>
      <c r="N19" s="6" t="inlineStr">
        <is>
          <t>17/08/2021</t>
        </is>
      </c>
      <c r="O19" s="7" t="inlineStr">
        <is>
          <t>Cục trưởng cục cảnh sát - Quản lý hành chính về trật tự xã hội</t>
        </is>
      </c>
      <c r="P19" s="9" t="inlineStr">
        <is>
          <t>Quảng Ngãi</t>
        </is>
      </c>
      <c r="Q19" s="7" t="inlineStr">
        <is>
          <t>Số 84/24/1, đường Trần Hữu Trang, phường 10, quận Phú Nhuận, Tp.HCM</t>
        </is>
      </c>
      <c r="R19" s="7" t="inlineStr"/>
      <c r="S19" s="7" t="inlineStr">
        <is>
          <t>Cao đẳng nghề điện tử công nghiệp</t>
        </is>
      </c>
      <c r="T19" s="6" t="inlineStr">
        <is>
          <t>0938383450</t>
        </is>
      </c>
      <c r="U19" s="9" t="inlineStr"/>
      <c r="V19" s="6" t="inlineStr">
        <is>
          <t>DN4797909175641</t>
        </is>
      </c>
      <c r="W19" s="6" t="inlineStr"/>
    </row>
    <row r="20">
      <c r="A20" s="10" t="n">
        <v>14</v>
      </c>
      <c r="B20" s="10" t="inlineStr">
        <is>
          <t>C1305</t>
        </is>
      </c>
      <c r="C20" s="11" t="inlineStr">
        <is>
          <t>PHẠM XUÂN CƯỜNG</t>
        </is>
      </c>
      <c r="D20" s="10" t="inlineStr">
        <is>
          <t>Nam</t>
        </is>
      </c>
      <c r="E20" s="10" t="inlineStr">
        <is>
          <t>02/08/1972</t>
        </is>
      </c>
      <c r="F20" s="10" t="inlineStr">
        <is>
          <t>CÔNG NHÂN</t>
        </is>
      </c>
      <c r="G20" s="10" t="inlineStr">
        <is>
          <t>CN/NV thường</t>
        </is>
      </c>
      <c r="H20" s="8" t="n"/>
      <c r="I20" s="8">
        <f>IF($H20="","",IF($H20&gt;=90,"Xuất sắc (A+)",IF($H20&gt;=85,"Giỏi (A)",IF($H20&gt;=80,"Tốt (A-)",IF($H20&gt;=75,"Khá (B+)",IF($H20&gt;=70,"Khá (B)",IF($H20&gt;=65,"Khá (B-)",IF($H20&gt;=60,"Trung bình (C+)",IF($H20&gt;=55,"Trung bình (C)",IF($H20&gt;=50,"Yếu (D)","Không đạt (F)"))))))))))</f>
        <v/>
      </c>
      <c r="J20" s="8">
        <f>IF($H20="","",INDEX(BangTra!$B$2:$D$11,MATCH($H20,BangTra!$A$2:$A$11,1),IF($G20="Đội trưởng",3,IF($G20="Đội phó",2,1))))</f>
        <v/>
      </c>
      <c r="K20" s="10" t="inlineStr">
        <is>
          <t>CSKV TT</t>
        </is>
      </c>
      <c r="L20" s="10" t="inlineStr"/>
      <c r="M20" s="10" t="inlineStr">
        <is>
          <t>079072022606</t>
        </is>
      </c>
      <c r="N20" s="10" t="inlineStr">
        <is>
          <t>29/04/2021</t>
        </is>
      </c>
      <c r="O20" s="11" t="inlineStr">
        <is>
          <t>Cục trưởng cục cảnh sát - Quản lý hành chính về trật tự xã hội</t>
        </is>
      </c>
      <c r="P20" s="12" t="inlineStr">
        <is>
          <t>Hà Nội</t>
        </is>
      </c>
      <c r="Q20" s="11" t="inlineStr">
        <is>
          <t>Số 372 Lầu 2, đường Bạch Đằng, phường 14, quận Bình Thạnh, Tp.HCM</t>
        </is>
      </c>
      <c r="R20" s="11" t="inlineStr"/>
      <c r="S20" s="11" t="inlineStr">
        <is>
          <t>Cao đẳng nghề điện tử công nghiệp</t>
        </is>
      </c>
      <c r="T20" s="10" t="inlineStr">
        <is>
          <t>0913149547</t>
        </is>
      </c>
      <c r="U20" s="12" t="inlineStr"/>
      <c r="V20" s="10" t="inlineStr">
        <is>
          <t>DN4790201127852</t>
        </is>
      </c>
      <c r="W20" s="10" t="inlineStr"/>
    </row>
    <row r="21">
      <c r="A21" s="6" t="n">
        <v>15</v>
      </c>
      <c r="B21" s="6" t="inlineStr">
        <is>
          <t>H1860</t>
        </is>
      </c>
      <c r="C21" s="7" t="inlineStr">
        <is>
          <t>NGUYỄN TRẦN HÙNG</t>
        </is>
      </c>
      <c r="D21" s="6" t="inlineStr">
        <is>
          <t>Nam</t>
        </is>
      </c>
      <c r="E21" s="6" t="inlineStr">
        <is>
          <t>08/09/1971</t>
        </is>
      </c>
      <c r="F21" s="6" t="inlineStr">
        <is>
          <t>CÔNG NHÂN</t>
        </is>
      </c>
      <c r="G21" s="6" t="inlineStr">
        <is>
          <t>CN/NV thường</t>
        </is>
      </c>
      <c r="H21" s="8" t="n"/>
      <c r="I21" s="8">
        <f>IF($H21="","",IF($H21&gt;=90,"Xuất sắc (A+)",IF($H21&gt;=85,"Giỏi (A)",IF($H21&gt;=80,"Tốt (A-)",IF($H21&gt;=75,"Khá (B+)",IF($H21&gt;=70,"Khá (B)",IF($H21&gt;=65,"Khá (B-)",IF($H21&gt;=60,"Trung bình (C+)",IF($H21&gt;=55,"Trung bình (C)",IF($H21&gt;=50,"Yếu (D)","Không đạt (F)"))))))))))</f>
        <v/>
      </c>
      <c r="J21" s="8">
        <f>IF($H21="","",INDEX(BangTra!$B$2:$D$11,MATCH($H21,BangTra!$A$2:$A$11,1),IF($G21="Đội trưởng",3,IF($G21="Đội phó",2,1))))</f>
        <v/>
      </c>
      <c r="K21" s="6" t="inlineStr">
        <is>
          <t>CSKV TT</t>
        </is>
      </c>
      <c r="L21" s="6" t="inlineStr"/>
      <c r="M21" s="6" t="inlineStr">
        <is>
          <t>079071009720</t>
        </is>
      </c>
      <c r="N21" s="6" t="inlineStr">
        <is>
          <t>25/04/2021</t>
        </is>
      </c>
      <c r="O21" s="7" t="inlineStr">
        <is>
          <t>Cục trưởng cục cảnh sát - Quản lý hành chính về trật tự xã hội</t>
        </is>
      </c>
      <c r="P21" s="9" t="inlineStr">
        <is>
          <t>Tp.HCM</t>
        </is>
      </c>
      <c r="Q21" s="7" t="inlineStr">
        <is>
          <t>Số 115/17A, đường Hưng Phú, phường 8, quận 8, Tp.HCM</t>
        </is>
      </c>
      <c r="R21" s="7" t="inlineStr"/>
      <c r="S21" s="7" t="inlineStr">
        <is>
          <t>Cao đẳng nghề điện tử công nghiệp</t>
        </is>
      </c>
      <c r="T21" s="6" t="inlineStr">
        <is>
          <t>0908477047</t>
        </is>
      </c>
      <c r="U21" s="9" t="inlineStr"/>
      <c r="V21" s="6" t="inlineStr">
        <is>
          <t>DN4790298103352</t>
        </is>
      </c>
      <c r="W21" s="6" t="inlineStr"/>
    </row>
    <row r="22">
      <c r="A22" s="10" t="n">
        <v>16</v>
      </c>
      <c r="B22" s="10" t="inlineStr">
        <is>
          <t>V3605</t>
        </is>
      </c>
      <c r="C22" s="11" t="inlineStr">
        <is>
          <t>NGUYỄN BÁ VINH</t>
        </is>
      </c>
      <c r="D22" s="10" t="inlineStr">
        <is>
          <t>Nam</t>
        </is>
      </c>
      <c r="E22" s="10" t="inlineStr">
        <is>
          <t>27/03/1982</t>
        </is>
      </c>
      <c r="F22" s="10" t="inlineStr">
        <is>
          <t>CÔNG NHÂN</t>
        </is>
      </c>
      <c r="G22" s="10" t="inlineStr">
        <is>
          <t>CN/NV thường</t>
        </is>
      </c>
      <c r="H22" s="8" t="n"/>
      <c r="I22" s="8">
        <f>IF($H22="","",IF($H22&gt;=90,"Xuất sắc (A+)",IF($H22&gt;=85,"Giỏi (A)",IF($H22&gt;=80,"Tốt (A-)",IF($H22&gt;=75,"Khá (B+)",IF($H22&gt;=70,"Khá (B)",IF($H22&gt;=65,"Khá (B-)",IF($H22&gt;=60,"Trung bình (C+)",IF($H22&gt;=55,"Trung bình (C)",IF($H22&gt;=50,"Yếu (D)","Không đạt (F)"))))))))))</f>
        <v/>
      </c>
      <c r="J22" s="8">
        <f>IF($H22="","",INDEX(BangTra!$B$2:$D$11,MATCH($H22,BangTra!$A$2:$A$11,1),IF($G22="Đội trưởng",3,IF($G22="Đội phó",2,1))))</f>
        <v/>
      </c>
      <c r="K22" s="10" t="inlineStr">
        <is>
          <t>CSKV TT</t>
        </is>
      </c>
      <c r="L22" s="10" t="inlineStr"/>
      <c r="M22" s="10" t="inlineStr">
        <is>
          <t>023476688</t>
        </is>
      </c>
      <c r="N22" s="10" t="inlineStr">
        <is>
          <t>21/03/2013</t>
        </is>
      </c>
      <c r="O22" s="11" t="inlineStr">
        <is>
          <t>CA TP.HCM</t>
        </is>
      </c>
      <c r="P22" s="12" t="inlineStr">
        <is>
          <t>Tp.HCM</t>
        </is>
      </c>
      <c r="Q22" s="11" t="inlineStr">
        <is>
          <t>Số 139/14, đường Lạc Long Quân, phường 09, quận Tân Bình, Tp.HCM</t>
        </is>
      </c>
      <c r="R22" s="11" t="inlineStr"/>
      <c r="S22" s="11" t="inlineStr">
        <is>
          <t>Cao Đẳng nghề Điện tử công nghiệp</t>
        </is>
      </c>
      <c r="T22" s="10" t="inlineStr">
        <is>
          <t>0989307978</t>
        </is>
      </c>
      <c r="U22" s="12" t="inlineStr"/>
      <c r="V22" s="10" t="inlineStr">
        <is>
          <t>DN4790205187079</t>
        </is>
      </c>
      <c r="W22" s="10" t="inlineStr"/>
    </row>
    <row r="23">
      <c r="A23" s="6" t="n">
        <v>17</v>
      </c>
      <c r="B23" s="6" t="inlineStr">
        <is>
          <t>B1110</t>
        </is>
      </c>
      <c r="C23" s="7" t="inlineStr">
        <is>
          <t>BÙI VĂN BÌNH</t>
        </is>
      </c>
      <c r="D23" s="6" t="inlineStr">
        <is>
          <t>Nam</t>
        </is>
      </c>
      <c r="E23" s="6" t="inlineStr">
        <is>
          <t>12/03/1983</t>
        </is>
      </c>
      <c r="F23" s="6" t="inlineStr">
        <is>
          <t>CÔNG NHÂN</t>
        </is>
      </c>
      <c r="G23" s="6" t="inlineStr">
        <is>
          <t>CN/NV thường</t>
        </is>
      </c>
      <c r="H23" s="8" t="n"/>
      <c r="I23" s="8">
        <f>IF($H23="","",IF($H23&gt;=90,"Xuất sắc (A+)",IF($H23&gt;=85,"Giỏi (A)",IF($H23&gt;=80,"Tốt (A-)",IF($H23&gt;=75,"Khá (B+)",IF($H23&gt;=70,"Khá (B)",IF($H23&gt;=65,"Khá (B-)",IF($H23&gt;=60,"Trung bình (C+)",IF($H23&gt;=55,"Trung bình (C)",IF($H23&gt;=50,"Yếu (D)","Không đạt (F)"))))))))))</f>
        <v/>
      </c>
      <c r="J23" s="8">
        <f>IF($H23="","",INDEX(BangTra!$B$2:$D$11,MATCH($H23,BangTra!$A$2:$A$11,1),IF($G23="Đội trưởng",3,IF($G23="Đội phó",2,1))))</f>
        <v/>
      </c>
      <c r="K23" s="6" t="inlineStr">
        <is>
          <t>CSKV TT</t>
        </is>
      </c>
      <c r="L23" s="6" t="inlineStr"/>
      <c r="M23" s="6" t="inlineStr">
        <is>
          <t>025124268</t>
        </is>
      </c>
      <c r="N23" s="6" t="inlineStr">
        <is>
          <t>08/05/2009</t>
        </is>
      </c>
      <c r="O23" s="7" t="inlineStr">
        <is>
          <t>CA TP.HCM</t>
        </is>
      </c>
      <c r="P23" s="9" t="inlineStr">
        <is>
          <t>Thái Bình</t>
        </is>
      </c>
      <c r="Q23" s="7" t="inlineStr">
        <is>
          <t>Số 3/1, đường Nguyễn Văn Lượng, phường 16, quận Gò Vấp, Tp.HCM</t>
        </is>
      </c>
      <c r="R23" s="7" t="inlineStr"/>
      <c r="S23" s="7" t="inlineStr">
        <is>
          <t>Cao Đẳng nghề điện tử công nghiệp</t>
        </is>
      </c>
      <c r="T23" s="6" t="inlineStr">
        <is>
          <t>0938898429</t>
        </is>
      </c>
      <c r="U23" s="9" t="inlineStr"/>
      <c r="V23" s="6" t="inlineStr">
        <is>
          <t>DN4790203223957</t>
        </is>
      </c>
      <c r="W23" s="6" t="inlineStr"/>
    </row>
    <row r="24">
      <c r="A24" s="10" t="n">
        <v>18</v>
      </c>
      <c r="B24" s="10" t="inlineStr">
        <is>
          <t>T3075</t>
        </is>
      </c>
      <c r="C24" s="11" t="inlineStr">
        <is>
          <t>NGUYỄN TRỌNG THI</t>
        </is>
      </c>
      <c r="D24" s="10" t="inlineStr">
        <is>
          <t>Nam</t>
        </is>
      </c>
      <c r="E24" s="10" t="inlineStr">
        <is>
          <t>19/12/1983</t>
        </is>
      </c>
      <c r="F24" s="10" t="inlineStr">
        <is>
          <t>CÔNG NHÂN</t>
        </is>
      </c>
      <c r="G24" s="10" t="inlineStr">
        <is>
          <t>CN/NV thường</t>
        </is>
      </c>
      <c r="H24" s="8" t="n"/>
      <c r="I24" s="8">
        <f>IF($H24="","",IF($H24&gt;=90,"Xuất sắc (A+)",IF($H24&gt;=85,"Giỏi (A)",IF($H24&gt;=80,"Tốt (A-)",IF($H24&gt;=75,"Khá (B+)",IF($H24&gt;=70,"Khá (B)",IF($H24&gt;=65,"Khá (B-)",IF($H24&gt;=60,"Trung bình (C+)",IF($H24&gt;=55,"Trung bình (C)",IF($H24&gt;=50,"Yếu (D)","Không đạt (F)"))))))))))</f>
        <v/>
      </c>
      <c r="J24" s="8">
        <f>IF($H24="","",INDEX(BangTra!$B$2:$D$11,MATCH($H24,BangTra!$A$2:$A$11,1),IF($G24="Đội trưởng",3,IF($G24="Đội phó",2,1))))</f>
        <v/>
      </c>
      <c r="K24" s="10" t="inlineStr">
        <is>
          <t>CSKV TT</t>
        </is>
      </c>
      <c r="L24" s="10" t="inlineStr"/>
      <c r="M24" s="10" t="inlineStr">
        <is>
          <t>079083041174</t>
        </is>
      </c>
      <c r="N24" s="10" t="inlineStr">
        <is>
          <t>12/08/2021</t>
        </is>
      </c>
      <c r="O24" s="11" t="inlineStr">
        <is>
          <t>Cục trưởng cục cảnh sát - Quản lý hành chính về trật tự xã hội</t>
        </is>
      </c>
      <c r="P24" s="12" t="inlineStr">
        <is>
          <t>Hải Phòng</t>
        </is>
      </c>
      <c r="Q24" s="11" t="inlineStr">
        <is>
          <t>Số 23/12A, đường Đinh Tiên Hoàng, phường 3, quận Bình Thạnh, Tp.HCM</t>
        </is>
      </c>
      <c r="R24" s="11" t="inlineStr">
        <is>
          <t>Số 9 Lầu 2 Tân Hàng, phường 10, quận 5, Tp.HCM</t>
        </is>
      </c>
      <c r="S24" s="11" t="inlineStr">
        <is>
          <t>Cao đẳng nghề điện tử công nghiệp; Trung học chuyên nghiệp ngành Kế toán</t>
        </is>
      </c>
      <c r="T24" s="10" t="inlineStr">
        <is>
          <t>0822102102</t>
        </is>
      </c>
      <c r="U24" s="12" t="inlineStr"/>
      <c r="V24" s="10" t="inlineStr">
        <is>
          <t>DN4790205187078</t>
        </is>
      </c>
      <c r="W24" s="10" t="inlineStr"/>
    </row>
    <row r="25">
      <c r="A25" s="6" t="n">
        <v>19</v>
      </c>
      <c r="B25" s="6" t="inlineStr">
        <is>
          <t>T2880</t>
        </is>
      </c>
      <c r="C25" s="7" t="inlineStr">
        <is>
          <t>VÕ MINH TÀI</t>
        </is>
      </c>
      <c r="D25" s="6" t="inlineStr">
        <is>
          <t>Nam</t>
        </is>
      </c>
      <c r="E25" s="6" t="inlineStr">
        <is>
          <t>02/01/1985</t>
        </is>
      </c>
      <c r="F25" s="6" t="inlineStr">
        <is>
          <t>CÔNG NHÂN</t>
        </is>
      </c>
      <c r="G25" s="6" t="inlineStr">
        <is>
          <t>CN/NV thường</t>
        </is>
      </c>
      <c r="H25" s="8" t="n"/>
      <c r="I25" s="8">
        <f>IF($H25="","",IF($H25&gt;=90,"Xuất sắc (A+)",IF($H25&gt;=85,"Giỏi (A)",IF($H25&gt;=80,"Tốt (A-)",IF($H25&gt;=75,"Khá (B+)",IF($H25&gt;=70,"Khá (B)",IF($H25&gt;=65,"Khá (B-)",IF($H25&gt;=60,"Trung bình (C+)",IF($H25&gt;=55,"Trung bình (C)",IF($H25&gt;=50,"Yếu (D)","Không đạt (F)"))))))))))</f>
        <v/>
      </c>
      <c r="J25" s="8">
        <f>IF($H25="","",INDEX(BangTra!$B$2:$D$11,MATCH($H25,BangTra!$A$2:$A$11,1),IF($G25="Đội trưởng",3,IF($G25="Đội phó",2,1))))</f>
        <v/>
      </c>
      <c r="K25" s="6" t="inlineStr">
        <is>
          <t>CSKV TT</t>
        </is>
      </c>
      <c r="L25" s="6" t="inlineStr"/>
      <c r="M25" s="6" t="inlineStr">
        <is>
          <t>080085012600</t>
        </is>
      </c>
      <c r="N25" s="6" t="inlineStr">
        <is>
          <t>22/11/2021</t>
        </is>
      </c>
      <c r="O25" s="7" t="inlineStr">
        <is>
          <t>Cục trưởng cục cảnh sát - Quản lý hành chính về trật tự xã hội</t>
        </is>
      </c>
      <c r="P25" s="9" t="inlineStr">
        <is>
          <t>Long An</t>
        </is>
      </c>
      <c r="Q25" s="7" t="inlineStr">
        <is>
          <t>Khu 3, Ấp Chánh Long Hiệp, huyện Bến Lức, tỉnh Long An</t>
        </is>
      </c>
      <c r="R25" s="7" t="inlineStr"/>
      <c r="S25" s="7" t="inlineStr">
        <is>
          <t>Bằng nghề 3/7 điện công nghiệp</t>
        </is>
      </c>
      <c r="T25" s="6" t="inlineStr">
        <is>
          <t>0908329738</t>
        </is>
      </c>
      <c r="U25" s="9" t="inlineStr"/>
      <c r="V25" s="6" t="inlineStr">
        <is>
          <t>DN4797909175634</t>
        </is>
      </c>
      <c r="W25" s="6" t="inlineStr"/>
    </row>
    <row r="26">
      <c r="A26" s="10" t="n">
        <v>20</v>
      </c>
      <c r="B26" s="10" t="inlineStr">
        <is>
          <t>A1025</t>
        </is>
      </c>
      <c r="C26" s="11" t="inlineStr">
        <is>
          <t>TRẦN VĂN ÂN</t>
        </is>
      </c>
      <c r="D26" s="10" t="inlineStr">
        <is>
          <t>Nam</t>
        </is>
      </c>
      <c r="E26" s="10" t="inlineStr">
        <is>
          <t>25/11/1983</t>
        </is>
      </c>
      <c r="F26" s="10" t="inlineStr">
        <is>
          <t>CÔNG NHÂN</t>
        </is>
      </c>
      <c r="G26" s="10" t="inlineStr">
        <is>
          <t>CN/NV thường</t>
        </is>
      </c>
      <c r="H26" s="8" t="n"/>
      <c r="I26" s="8">
        <f>IF($H26="","",IF($H26&gt;=90,"Xuất sắc (A+)",IF($H26&gt;=85,"Giỏi (A)",IF($H26&gt;=80,"Tốt (A-)",IF($H26&gt;=75,"Khá (B+)",IF($H26&gt;=70,"Khá (B)",IF($H26&gt;=65,"Khá (B-)",IF($H26&gt;=60,"Trung bình (C+)",IF($H26&gt;=55,"Trung bình (C)",IF($H26&gt;=50,"Yếu (D)","Không đạt (F)"))))))))))</f>
        <v/>
      </c>
      <c r="J26" s="8">
        <f>IF($H26="","",INDEX(BangTra!$B$2:$D$11,MATCH($H26,BangTra!$A$2:$A$11,1),IF($G26="Đội trưởng",3,IF($G26="Đội phó",2,1))))</f>
        <v/>
      </c>
      <c r="K26" s="10" t="inlineStr">
        <is>
          <t>CSKV TT</t>
        </is>
      </c>
      <c r="L26" s="10" t="inlineStr"/>
      <c r="M26" s="10" t="inlineStr">
        <is>
          <t>290706150</t>
        </is>
      </c>
      <c r="N26" s="10" t="inlineStr">
        <is>
          <t>14/08/2012</t>
        </is>
      </c>
      <c r="O26" s="11" t="inlineStr">
        <is>
          <t>CA Tây Ninh</t>
        </is>
      </c>
      <c r="P26" s="12" t="inlineStr">
        <is>
          <t>Tây Ninh</t>
        </is>
      </c>
      <c r="Q26" s="11" t="inlineStr">
        <is>
          <t>Ấp Tân Thanh, Xã Tân Bình, huyện Tân Biên, tỉnh Tây Ninh</t>
        </is>
      </c>
      <c r="R26" s="11" t="inlineStr">
        <is>
          <t>Số 51/418, đường số 18B, KP1, Tổ 5, phường Bình Hưng Hoà A, quận Bình Tân, Tp.HCM</t>
        </is>
      </c>
      <c r="S26" s="11" t="inlineStr">
        <is>
          <t>Bằng nghề 3/7 điện công nghiệp</t>
        </is>
      </c>
      <c r="T26" s="10" t="inlineStr">
        <is>
          <t>0593904520</t>
        </is>
      </c>
      <c r="U26" s="12" t="inlineStr"/>
      <c r="V26" s="10" t="inlineStr">
        <is>
          <t>DN4790205282801</t>
        </is>
      </c>
      <c r="W26" s="10" t="inlineStr"/>
    </row>
    <row r="27">
      <c r="A27" s="6" t="n">
        <v>21</v>
      </c>
      <c r="B27" s="6" t="inlineStr">
        <is>
          <t>T2845</t>
        </is>
      </c>
      <c r="C27" s="7" t="inlineStr">
        <is>
          <t>HỒ TẤN TÀI</t>
        </is>
      </c>
      <c r="D27" s="6" t="inlineStr">
        <is>
          <t>Nam</t>
        </is>
      </c>
      <c r="E27" s="6" t="inlineStr">
        <is>
          <t>19/03/1979</t>
        </is>
      </c>
      <c r="F27" s="6" t="inlineStr">
        <is>
          <t>CÔNG NHÂN</t>
        </is>
      </c>
      <c r="G27" s="6" t="inlineStr">
        <is>
          <t>CN/NV thường</t>
        </is>
      </c>
      <c r="H27" s="8" t="n"/>
      <c r="I27" s="8">
        <f>IF($H27="","",IF($H27&gt;=90,"Xuất sắc (A+)",IF($H27&gt;=85,"Giỏi (A)",IF($H27&gt;=80,"Tốt (A-)",IF($H27&gt;=75,"Khá (B+)",IF($H27&gt;=70,"Khá (B)",IF($H27&gt;=65,"Khá (B-)",IF($H27&gt;=60,"Trung bình (C+)",IF($H27&gt;=55,"Trung bình (C)",IF($H27&gt;=50,"Yếu (D)","Không đạt (F)"))))))))))</f>
        <v/>
      </c>
      <c r="J27" s="8">
        <f>IF($H27="","",INDEX(BangTra!$B$2:$D$11,MATCH($H27,BangTra!$A$2:$A$11,1),IF($G27="Đội trưởng",3,IF($G27="Đội phó",2,1))))</f>
        <v/>
      </c>
      <c r="K27" s="6" t="inlineStr">
        <is>
          <t>CSKV TT</t>
        </is>
      </c>
      <c r="L27" s="6" t="inlineStr"/>
      <c r="M27" s="6" t="inlineStr">
        <is>
          <t>079079000622</t>
        </is>
      </c>
      <c r="N27" s="6" t="inlineStr">
        <is>
          <t>09/05/2021</t>
        </is>
      </c>
      <c r="O27" s="7" t="inlineStr">
        <is>
          <t>Cục trưởng cục cảnh sát - Quản lý hành chính về trật tự xã hội</t>
        </is>
      </c>
      <c r="P27" s="9" t="inlineStr">
        <is>
          <t>Quảng Nam</t>
        </is>
      </c>
      <c r="Q27" s="7" t="inlineStr">
        <is>
          <t>Số 76, đường Phan Đăng Lưu, phường 5, quận Phú Nhuận, Tp.HCM</t>
        </is>
      </c>
      <c r="R27" s="7" t="inlineStr">
        <is>
          <t>Số 74/3/11A, đường Phan Đăng Lưu, phường 5, quận Phú Nhuận, Tp.HCM</t>
        </is>
      </c>
      <c r="S27" s="7" t="inlineStr">
        <is>
          <t>Bằng nghề 3/7 Điện tử</t>
        </is>
      </c>
      <c r="T27" s="6" t="inlineStr">
        <is>
          <t>0932598282</t>
        </is>
      </c>
      <c r="U27" s="9" t="inlineStr"/>
      <c r="V27" s="6" t="inlineStr">
        <is>
          <t>DN4797908446745</t>
        </is>
      </c>
      <c r="W27" s="6" t="inlineStr"/>
    </row>
    <row r="28">
      <c r="A28" s="10" t="n">
        <v>22</v>
      </c>
      <c r="B28" s="10" t="inlineStr">
        <is>
          <t>T3215</t>
        </is>
      </c>
      <c r="C28" s="11" t="inlineStr">
        <is>
          <t>TRẦN THANH THỦY</t>
        </is>
      </c>
      <c r="D28" s="10" t="inlineStr">
        <is>
          <t>Nam</t>
        </is>
      </c>
      <c r="E28" s="10" t="inlineStr">
        <is>
          <t>16/09/1969</t>
        </is>
      </c>
      <c r="F28" s="10" t="inlineStr">
        <is>
          <t>NHÂN VIÊN</t>
        </is>
      </c>
      <c r="G28" s="10" t="inlineStr">
        <is>
          <t>CN/NV thường</t>
        </is>
      </c>
      <c r="H28" s="8" t="n"/>
      <c r="I28" s="8">
        <f>IF($H28="","",IF($H28&gt;=90,"Xuất sắc (A+)",IF($H28&gt;=85,"Giỏi (A)",IF($H28&gt;=80,"Tốt (A-)",IF($H28&gt;=75,"Khá (B+)",IF($H28&gt;=70,"Khá (B)",IF($H28&gt;=65,"Khá (B-)",IF($H28&gt;=60,"Trung bình (C+)",IF($H28&gt;=55,"Trung bình (C)",IF($H28&gt;=50,"Yếu (D)","Không đạt (F)"))))))))))</f>
        <v/>
      </c>
      <c r="J28" s="8">
        <f>IF($H28="","",INDEX(BangTra!$B$2:$D$11,MATCH($H28,BangTra!$A$2:$A$11,1),IF($G28="Đội trưởng",3,IF($G28="Đội phó",2,1))))</f>
        <v/>
      </c>
      <c r="K28" s="10" t="inlineStr">
        <is>
          <t>CSKV TT</t>
        </is>
      </c>
      <c r="L28" s="10" t="inlineStr"/>
      <c r="M28" s="10" t="inlineStr">
        <is>
          <t>030069012944</t>
        </is>
      </c>
      <c r="N28" s="10" t="inlineStr">
        <is>
          <t>10/08/2021</t>
        </is>
      </c>
      <c r="O28" s="11" t="inlineStr">
        <is>
          <t>Cục trưởng cục cảnh sát - Quản lý hành chính về trật tự xã hội</t>
        </is>
      </c>
      <c r="P28" s="12" t="inlineStr">
        <is>
          <t>Hải Dương</t>
        </is>
      </c>
      <c r="Q28" s="11" t="inlineStr">
        <is>
          <t>Số 211 Lô A2, Chung cư Thạnh Mỹ Lợi, phường Thạnh Mỹ Lợi, Thủ Đức, Tp.HCM</t>
        </is>
      </c>
      <c r="R28" s="11" t="inlineStr"/>
      <c r="S28" s="11" t="inlineStr">
        <is>
          <t>Kỹ thuật viên ngành điện-điện tử CN (1 năm)</t>
        </is>
      </c>
      <c r="T28" s="10" t="inlineStr">
        <is>
          <t>0989100845</t>
        </is>
      </c>
      <c r="U28" s="12" t="inlineStr"/>
      <c r="V28" s="10" t="inlineStr">
        <is>
          <t>DN4790296242101</t>
        </is>
      </c>
      <c r="W28" s="10" t="inlineStr"/>
    </row>
    <row r="29">
      <c r="A29" s="6" t="n">
        <v>23</v>
      </c>
      <c r="B29" s="6" t="inlineStr">
        <is>
          <t>H1980</t>
        </is>
      </c>
      <c r="C29" s="7" t="inlineStr">
        <is>
          <t>CHUNG HOÀNG HUYNH</t>
        </is>
      </c>
      <c r="D29" s="6" t="inlineStr">
        <is>
          <t>Nam</t>
        </is>
      </c>
      <c r="E29" s="6" t="inlineStr">
        <is>
          <t>21/01/1985</t>
        </is>
      </c>
      <c r="F29" s="6" t="inlineStr">
        <is>
          <t>Phụ trách kho</t>
        </is>
      </c>
      <c r="G29" s="6" t="inlineStr">
        <is>
          <t>CN/NV thường</t>
        </is>
      </c>
      <c r="H29" s="8" t="n"/>
      <c r="I29" s="8">
        <f>IF($H29="","",IF($H29&gt;=90,"Xuất sắc (A+)",IF($H29&gt;=85,"Giỏi (A)",IF($H29&gt;=80,"Tốt (A-)",IF($H29&gt;=75,"Khá (B+)",IF($H29&gt;=70,"Khá (B)",IF($H29&gt;=65,"Khá (B-)",IF($H29&gt;=60,"Trung bình (C+)",IF($H29&gt;=55,"Trung bình (C)",IF($H29&gt;=50,"Yếu (D)","Không đạt (F)"))))))))))</f>
        <v/>
      </c>
      <c r="J29" s="8">
        <f>IF($H29="","",INDEX(BangTra!$B$2:$D$11,MATCH($H29,BangTra!$A$2:$A$11,1),IF($G29="Đội trưởng",3,IF($G29="Đội phó",2,1))))</f>
        <v/>
      </c>
      <c r="K29" s="6" t="inlineStr">
        <is>
          <t>CSKV TT</t>
        </is>
      </c>
      <c r="L29" s="6" t="inlineStr"/>
      <c r="M29" s="6" t="inlineStr">
        <is>
          <t>096085000211</t>
        </is>
      </c>
      <c r="N29" s="6" t="inlineStr">
        <is>
          <t>22/11/2021</t>
        </is>
      </c>
      <c r="O29" s="7" t="inlineStr">
        <is>
          <t>Cục trưởng cục cảnh sát - Quản lý hành chính về trật tự xã hội</t>
        </is>
      </c>
      <c r="P29" s="9" t="inlineStr">
        <is>
          <t>Cà Mau</t>
        </is>
      </c>
      <c r="Q29" s="7" t="inlineStr">
        <is>
          <t>Số 14/1A, đường Mai Hắc Đế, phường 15, quận 8, Tp.HCM</t>
        </is>
      </c>
      <c r="R29" s="7" t="inlineStr"/>
      <c r="S29" s="7" t="inlineStr">
        <is>
          <t>Trung cấp chuyên nghiệp Sửa chữa khai thác thiết bị cơ khí ô tô; Chứng chỉ sơ cấp nghề Kỹ thuật điện (Trường cao đẳng điện lực)</t>
        </is>
      </c>
      <c r="T29" s="6" t="inlineStr">
        <is>
          <t>0947784899</t>
        </is>
      </c>
      <c r="U29" s="9" t="inlineStr"/>
      <c r="V29" s="6" t="inlineStr">
        <is>
          <t>DN4797910300162</t>
        </is>
      </c>
      <c r="W29" s="6" t="inlineStr"/>
    </row>
    <row r="30">
      <c r="A30" s="10" t="n">
        <v>24</v>
      </c>
      <c r="B30" s="10" t="inlineStr">
        <is>
          <t>P2605</t>
        </is>
      </c>
      <c r="C30" s="11" t="inlineStr">
        <is>
          <t>TRẦN CAO PHƯỚC</t>
        </is>
      </c>
      <c r="D30" s="10" t="inlineStr">
        <is>
          <t>Nam</t>
        </is>
      </c>
      <c r="E30" s="10" t="inlineStr">
        <is>
          <t>05/06/1979</t>
        </is>
      </c>
      <c r="F30" s="10" t="inlineStr">
        <is>
          <t>CÔNG NHÂN</t>
        </is>
      </c>
      <c r="G30" s="10" t="inlineStr">
        <is>
          <t>CN/NV thường</t>
        </is>
      </c>
      <c r="H30" s="8" t="n"/>
      <c r="I30" s="8">
        <f>IF($H30="","",IF($H30&gt;=90,"Xuất sắc (A+)",IF($H30&gt;=85,"Giỏi (A)",IF($H30&gt;=80,"Tốt (A-)",IF($H30&gt;=75,"Khá (B+)",IF($H30&gt;=70,"Khá (B)",IF($H30&gt;=65,"Khá (B-)",IF($H30&gt;=60,"Trung bình (C+)",IF($H30&gt;=55,"Trung bình (C)",IF($H30&gt;=50,"Yếu (D)","Không đạt (F)"))))))))))</f>
        <v/>
      </c>
      <c r="J30" s="8">
        <f>IF($H30="","",INDEX(BangTra!$B$2:$D$11,MATCH($H30,BangTra!$A$2:$A$11,1),IF($G30="Đội trưởng",3,IF($G30="Đội phó",2,1))))</f>
        <v/>
      </c>
      <c r="K30" s="10" t="inlineStr">
        <is>
          <t>CSKV TT</t>
        </is>
      </c>
      <c r="L30" s="10" t="inlineStr"/>
      <c r="M30" s="10" t="inlineStr">
        <is>
          <t>079079006629</t>
        </is>
      </c>
      <c r="N30" s="10" t="inlineStr">
        <is>
          <t>25/02/2022</t>
        </is>
      </c>
      <c r="O30" s="11" t="inlineStr">
        <is>
          <t>Cục trưởng cục cảnh sát - Quản lý hành chính về trật tự xã hội</t>
        </is>
      </c>
      <c r="P30" s="12" t="inlineStr">
        <is>
          <t>Tp.HCM</t>
        </is>
      </c>
      <c r="Q30" s="11" t="inlineStr">
        <is>
          <t>Số 38/3, đường Trần Xuân Soạn, phường Tân Kiểng, quận 7, Tp.HCM</t>
        </is>
      </c>
      <c r="R30" s="11" t="inlineStr"/>
      <c r="S30" s="11" t="inlineStr">
        <is>
          <t>Trung học chuyên nghiệp ngành điện Công nghiệp và dân dụng</t>
        </is>
      </c>
      <c r="T30" s="10" t="inlineStr">
        <is>
          <t>0908234905
0911236455</t>
        </is>
      </c>
      <c r="U30" s="12" t="inlineStr"/>
      <c r="V30" s="10" t="inlineStr">
        <is>
          <t>DN4790204330775</t>
        </is>
      </c>
      <c r="W30" s="10" t="inlineStr"/>
    </row>
    <row r="31">
      <c r="A31" s="6" t="n">
        <v>25</v>
      </c>
      <c r="B31" s="6" t="inlineStr">
        <is>
          <t>T3225</t>
        </is>
      </c>
      <c r="C31" s="7" t="inlineStr">
        <is>
          <t>NGUYỄN QUÍ TIÊN</t>
        </is>
      </c>
      <c r="D31" s="6" t="inlineStr">
        <is>
          <t>Nam</t>
        </is>
      </c>
      <c r="E31" s="6" t="inlineStr">
        <is>
          <t>04/07/1985</t>
        </is>
      </c>
      <c r="F31" s="6" t="inlineStr">
        <is>
          <t>CÔNG NHÂN</t>
        </is>
      </c>
      <c r="G31" s="6" t="inlineStr">
        <is>
          <t>CN/NV thường</t>
        </is>
      </c>
      <c r="H31" s="8" t="n"/>
      <c r="I31" s="8">
        <f>IF($H31="","",IF($H31&gt;=90,"Xuất sắc (A+)",IF($H31&gt;=85,"Giỏi (A)",IF($H31&gt;=80,"Tốt (A-)",IF($H31&gt;=75,"Khá (B+)",IF($H31&gt;=70,"Khá (B)",IF($H31&gt;=65,"Khá (B-)",IF($H31&gt;=60,"Trung bình (C+)",IF($H31&gt;=55,"Trung bình (C)",IF($H31&gt;=50,"Yếu (D)","Không đạt (F)"))))))))))</f>
        <v/>
      </c>
      <c r="J31" s="8">
        <f>IF($H31="","",INDEX(BangTra!$B$2:$D$11,MATCH($H31,BangTra!$A$2:$A$11,1),IF($G31="Đội trưởng",3,IF($G31="Đội phó",2,1))))</f>
        <v/>
      </c>
      <c r="K31" s="6" t="inlineStr">
        <is>
          <t>CSKV TT</t>
        </is>
      </c>
      <c r="L31" s="6" t="inlineStr"/>
      <c r="M31" s="6" t="inlineStr">
        <is>
          <t>311865808</t>
        </is>
      </c>
      <c r="N31" s="6" t="inlineStr">
        <is>
          <t>16/03/2019</t>
        </is>
      </c>
      <c r="O31" s="7" t="inlineStr">
        <is>
          <t>CA Tiền Giang</t>
        </is>
      </c>
      <c r="P31" s="9" t="inlineStr">
        <is>
          <t>Tiền Giang</t>
        </is>
      </c>
      <c r="Q31" s="7" t="inlineStr">
        <is>
          <t>Ấp Mỹ Quới, Xã Hậu Mỹ Phú, huyện Cái Bè, tỉnh Tiền Giang</t>
        </is>
      </c>
      <c r="R31" s="7" t="inlineStr"/>
      <c r="S31" s="7" t="inlineStr">
        <is>
          <t>Trung học chuyên nghiệp ngành Kỹ thuật nhiệt và điện, chuyên ngành Điện công nghiệp và dân dụng</t>
        </is>
      </c>
      <c r="T31" s="6" t="inlineStr">
        <is>
          <t>0938588799</t>
        </is>
      </c>
      <c r="U31" s="9" t="inlineStr"/>
      <c r="V31" s="6" t="inlineStr">
        <is>
          <t>DN4797909175635</t>
        </is>
      </c>
      <c r="W31" s="6" t="inlineStr"/>
    </row>
    <row r="32">
      <c r="A32" s="10" t="n">
        <v>26</v>
      </c>
      <c r="B32" s="10" t="inlineStr">
        <is>
          <t>H1885</t>
        </is>
      </c>
      <c r="C32" s="11" t="inlineStr">
        <is>
          <t>TRƯƠNG KHÁNH HÙNG</t>
        </is>
      </c>
      <c r="D32" s="10" t="inlineStr">
        <is>
          <t>Nam</t>
        </is>
      </c>
      <c r="E32" s="10" t="inlineStr">
        <is>
          <t>29/02/1968</t>
        </is>
      </c>
      <c r="F32" s="10" t="inlineStr">
        <is>
          <t>CÔNG NHÂN</t>
        </is>
      </c>
      <c r="G32" s="10" t="inlineStr">
        <is>
          <t>CN/NV thường</t>
        </is>
      </c>
      <c r="H32" s="8" t="n"/>
      <c r="I32" s="8">
        <f>IF($H32="","",IF($H32&gt;=90,"Xuất sắc (A+)",IF($H32&gt;=85,"Giỏi (A)",IF($H32&gt;=80,"Tốt (A-)",IF($H32&gt;=75,"Khá (B+)",IF($H32&gt;=70,"Khá (B)",IF($H32&gt;=65,"Khá (B-)",IF($H32&gt;=60,"Trung bình (C+)",IF($H32&gt;=55,"Trung bình (C)",IF($H32&gt;=50,"Yếu (D)","Không đạt (F)"))))))))))</f>
        <v/>
      </c>
      <c r="J32" s="8">
        <f>IF($H32="","",INDEX(BangTra!$B$2:$D$11,MATCH($H32,BangTra!$A$2:$A$11,1),IF($G32="Đội trưởng",3,IF($G32="Đội phó",2,1))))</f>
        <v/>
      </c>
      <c r="K32" s="10" t="inlineStr">
        <is>
          <t>CSKV TT</t>
        </is>
      </c>
      <c r="L32" s="10" t="inlineStr"/>
      <c r="M32" s="10" t="inlineStr">
        <is>
          <t>079068006225</t>
        </is>
      </c>
      <c r="N32" s="10" t="inlineStr">
        <is>
          <t>28/03/2021</t>
        </is>
      </c>
      <c r="O32" s="11" t="inlineStr">
        <is>
          <t>Cục trưởng cục cảnh sát - Quản lý hành chính về trật tự xã hội</t>
        </is>
      </c>
      <c r="P32" s="12" t="inlineStr">
        <is>
          <t>Sài Gòn</t>
        </is>
      </c>
      <c r="Q32" s="11" t="inlineStr">
        <is>
          <t>Số 119, đường Phạm Văn Chí, phường 1, quận 6, Tp.HCM</t>
        </is>
      </c>
      <c r="R32" s="11" t="inlineStr"/>
      <c r="S32" s="11" t="inlineStr">
        <is>
          <t>Chứng chỉ sơ cấp ngành Hệ thống điện công nghiệp</t>
        </is>
      </c>
      <c r="T32" s="10" t="inlineStr">
        <is>
          <t>0934389938</t>
        </is>
      </c>
      <c r="U32" s="12" t="inlineStr"/>
      <c r="V32" s="10" t="inlineStr">
        <is>
          <t>DN4790296242095</t>
        </is>
      </c>
      <c r="W32" s="10" t="inlineStr"/>
    </row>
    <row r="33">
      <c r="A33" s="6" t="n">
        <v>27</v>
      </c>
      <c r="B33" s="6" t="inlineStr">
        <is>
          <t>C1175</t>
        </is>
      </c>
      <c r="C33" s="7" t="inlineStr">
        <is>
          <t>PHẠM MINH CHÁNH</t>
        </is>
      </c>
      <c r="D33" s="6" t="inlineStr">
        <is>
          <t>Nam</t>
        </is>
      </c>
      <c r="E33" s="6" t="inlineStr">
        <is>
          <t>15/04/1974</t>
        </is>
      </c>
      <c r="F33" s="6" t="inlineStr">
        <is>
          <t>CÔNG NHÂN</t>
        </is>
      </c>
      <c r="G33" s="6" t="inlineStr">
        <is>
          <t>CN/NV thường</t>
        </is>
      </c>
      <c r="H33" s="8" t="n"/>
      <c r="I33" s="8">
        <f>IF($H33="","",IF($H33&gt;=90,"Xuất sắc (A+)",IF($H33&gt;=85,"Giỏi (A)",IF($H33&gt;=80,"Tốt (A-)",IF($H33&gt;=75,"Khá (B+)",IF($H33&gt;=70,"Khá (B)",IF($H33&gt;=65,"Khá (B-)",IF($H33&gt;=60,"Trung bình (C+)",IF($H33&gt;=55,"Trung bình (C)",IF($H33&gt;=50,"Yếu (D)","Không đạt (F)"))))))))))</f>
        <v/>
      </c>
      <c r="J33" s="8">
        <f>IF($H33="","",INDEX(BangTra!$B$2:$D$11,MATCH($H33,BangTra!$A$2:$A$11,1),IF($G33="Đội trưởng",3,IF($G33="Đội phó",2,1))))</f>
        <v/>
      </c>
      <c r="K33" s="6" t="inlineStr">
        <is>
          <t>CSKV TT</t>
        </is>
      </c>
      <c r="L33" s="6" t="inlineStr"/>
      <c r="M33" s="6" t="inlineStr">
        <is>
          <t>079074012615</t>
        </is>
      </c>
      <c r="N33" s="6" t="inlineStr">
        <is>
          <t>03/01/2020</t>
        </is>
      </c>
      <c r="O33" s="7" t="inlineStr">
        <is>
          <t>Cục trưởng cục cảnh sát - Quản lý hành chính về trật tự xã hội</t>
        </is>
      </c>
      <c r="P33" s="9" t="inlineStr">
        <is>
          <t>Bình Dương</t>
        </is>
      </c>
      <c r="Q33" s="7" t="inlineStr">
        <is>
          <t>Số 185/10, đường Lê Quang Định, phường 7, quận Bình Thạnh, Tp.HCM</t>
        </is>
      </c>
      <c r="R33" s="7" t="inlineStr"/>
      <c r="S33" s="7" t="inlineStr">
        <is>
          <t>Chứng chỉ sơ cấp ngành Hệ thống điện công nghiệp</t>
        </is>
      </c>
      <c r="T33" s="6" t="inlineStr">
        <is>
          <t>0909213926</t>
        </is>
      </c>
      <c r="U33" s="9" t="inlineStr"/>
      <c r="V33" s="6" t="inlineStr">
        <is>
          <t>DN4790205187076</t>
        </is>
      </c>
      <c r="W33" s="6" t="inlineStr"/>
    </row>
    <row r="34">
      <c r="A34" s="10" t="n">
        <v>28</v>
      </c>
      <c r="B34" s="10" t="inlineStr">
        <is>
          <t>T4165</t>
        </is>
      </c>
      <c r="C34" s="11" t="inlineStr">
        <is>
          <t>HỒ PHÚ TRƯỜNG</t>
        </is>
      </c>
      <c r="D34" s="10" t="inlineStr">
        <is>
          <t>Nam</t>
        </is>
      </c>
      <c r="E34" s="10" t="inlineStr">
        <is>
          <t>29/03/1976</t>
        </is>
      </c>
      <c r="F34" s="10" t="inlineStr">
        <is>
          <t>CÔNG NHÂN</t>
        </is>
      </c>
      <c r="G34" s="10" t="inlineStr">
        <is>
          <t>CN/NV thường</t>
        </is>
      </c>
      <c r="H34" s="8" t="n"/>
      <c r="I34" s="8">
        <f>IF($H34="","",IF($H34&gt;=90,"Xuất sắc (A+)",IF($H34&gt;=85,"Giỏi (A)",IF($H34&gt;=80,"Tốt (A-)",IF($H34&gt;=75,"Khá (B+)",IF($H34&gt;=70,"Khá (B)",IF($H34&gt;=65,"Khá (B-)",IF($H34&gt;=60,"Trung bình (C+)",IF($H34&gt;=55,"Trung bình (C)",IF($H34&gt;=50,"Yếu (D)","Không đạt (F)"))))))))))</f>
        <v/>
      </c>
      <c r="J34" s="8">
        <f>IF($H34="","",INDEX(BangTra!$B$2:$D$11,MATCH($H34,BangTra!$A$2:$A$11,1),IF($G34="Đội trưởng",3,IF($G34="Đội phó",2,1))))</f>
        <v/>
      </c>
      <c r="K34" s="10" t="inlineStr">
        <is>
          <t>CSKV TT</t>
        </is>
      </c>
      <c r="L34" s="10" t="inlineStr"/>
      <c r="M34" s="10" t="inlineStr">
        <is>
          <t>079076001607</t>
        </is>
      </c>
      <c r="N34" s="10" t="inlineStr">
        <is>
          <t>13/06/2016</t>
        </is>
      </c>
      <c r="O34" s="11" t="inlineStr">
        <is>
          <t>Cục trưởng cục cảnh sát - Quản lý hành chính về trật tự xã hội</t>
        </is>
      </c>
      <c r="P34" s="12" t="inlineStr">
        <is>
          <t>Vĩnh Long</t>
        </is>
      </c>
      <c r="Q34" s="11" t="inlineStr">
        <is>
          <t>Số 90, đường Nguyễn Trường Tộ, phường 12, quận 4, Tp.HCM</t>
        </is>
      </c>
      <c r="R34" s="11" t="inlineStr"/>
      <c r="S34" s="11" t="inlineStr">
        <is>
          <t>Chứng chỉ sơ cấp ngành Hệ thống điện công nghiệp</t>
        </is>
      </c>
      <c r="T34" s="10" t="inlineStr">
        <is>
          <t>0907176417</t>
        </is>
      </c>
      <c r="U34" s="12" t="inlineStr"/>
      <c r="V34" s="10" t="inlineStr">
        <is>
          <t>DN4790204135967</t>
        </is>
      </c>
      <c r="W34" s="10" t="inlineStr"/>
    </row>
    <row r="35">
      <c r="A35" s="6" t="n">
        <v>29</v>
      </c>
      <c r="B35" s="6" t="inlineStr">
        <is>
          <t>D1400</t>
        </is>
      </c>
      <c r="C35" s="7" t="inlineStr">
        <is>
          <t>NGUYỄN HỮU ĐỨC</t>
        </is>
      </c>
      <c r="D35" s="6" t="inlineStr">
        <is>
          <t>Nam</t>
        </is>
      </c>
      <c r="E35" s="6" t="inlineStr">
        <is>
          <t>23/03/1976</t>
        </is>
      </c>
      <c r="F35" s="6" t="inlineStr">
        <is>
          <t>CÔNG NHÂN</t>
        </is>
      </c>
      <c r="G35" s="6" t="inlineStr">
        <is>
          <t>CN/NV thường</t>
        </is>
      </c>
      <c r="H35" s="8" t="n"/>
      <c r="I35" s="8">
        <f>IF($H35="","",IF($H35&gt;=90,"Xuất sắc (A+)",IF($H35&gt;=85,"Giỏi (A)",IF($H35&gt;=80,"Tốt (A-)",IF($H35&gt;=75,"Khá (B+)",IF($H35&gt;=70,"Khá (B)",IF($H35&gt;=65,"Khá (B-)",IF($H35&gt;=60,"Trung bình (C+)",IF($H35&gt;=55,"Trung bình (C)",IF($H35&gt;=50,"Yếu (D)","Không đạt (F)"))))))))))</f>
        <v/>
      </c>
      <c r="J35" s="8">
        <f>IF($H35="","",INDEX(BangTra!$B$2:$D$11,MATCH($H35,BangTra!$A$2:$A$11,1),IF($G35="Đội trưởng",3,IF($G35="Đội phó",2,1))))</f>
        <v/>
      </c>
      <c r="K35" s="6" t="inlineStr">
        <is>
          <t>CSKV TT</t>
        </is>
      </c>
      <c r="L35" s="6" t="inlineStr"/>
      <c r="M35" s="6" t="inlineStr">
        <is>
          <t>023110264</t>
        </is>
      </c>
      <c r="N35" s="6" t="inlineStr">
        <is>
          <t>14/05/2009</t>
        </is>
      </c>
      <c r="O35" s="7" t="inlineStr">
        <is>
          <t>CA TP.HCM</t>
        </is>
      </c>
      <c r="P35" s="9" t="inlineStr">
        <is>
          <t>Tp.HCM</t>
        </is>
      </c>
      <c r="Q35" s="7" t="inlineStr">
        <is>
          <t>Số 122/27/77/46 Tôn Đản, phường 8, quận 4, Tp.HCM</t>
        </is>
      </c>
      <c r="R35" s="7" t="inlineStr">
        <is>
          <t>Số 152/09, đường Âu Dương Lân, phường 3, quận 8, Tp.HCM</t>
        </is>
      </c>
      <c r="S35" s="7" t="inlineStr">
        <is>
          <t>Chứng chỉ sơ cấp ngành Hệ thống điện công nghiệp</t>
        </is>
      </c>
      <c r="T35" s="6" t="inlineStr">
        <is>
          <t>0906801918</t>
        </is>
      </c>
      <c r="U35" s="9" t="inlineStr"/>
      <c r="V35" s="6" t="inlineStr">
        <is>
          <t>DN4790298122247</t>
        </is>
      </c>
      <c r="W35" s="6" t="inlineStr"/>
    </row>
    <row r="36">
      <c r="A36" s="10" t="n">
        <v>30</v>
      </c>
      <c r="B36" s="10" t="inlineStr">
        <is>
          <t>P2645</t>
        </is>
      </c>
      <c r="C36" s="11" t="inlineStr">
        <is>
          <t>NGUYỄN THÀNH PHƯƠNG</t>
        </is>
      </c>
      <c r="D36" s="10" t="inlineStr">
        <is>
          <t>Nam</t>
        </is>
      </c>
      <c r="E36" s="10" t="inlineStr">
        <is>
          <t>31/03/1969</t>
        </is>
      </c>
      <c r="F36" s="10" t="inlineStr">
        <is>
          <t>Đội trưởng</t>
        </is>
      </c>
      <c r="G36" s="10" t="inlineStr">
        <is>
          <t>Đội trưởng</t>
        </is>
      </c>
      <c r="H36" s="8" t="n"/>
      <c r="I36" s="8">
        <f>IF($H36="","",IF($H36&gt;=90,"Xuất sắc (A+)",IF($H36&gt;=85,"Giỏi (A)",IF($H36&gt;=80,"Tốt (A-)",IF($H36&gt;=75,"Khá (B+)",IF($H36&gt;=70,"Khá (B)",IF($H36&gt;=65,"Khá (B-)",IF($H36&gt;=60,"Trung bình (C+)",IF($H36&gt;=55,"Trung bình (C)",IF($H36&gt;=50,"Yếu (D)","Không đạt (F)"))))))))))</f>
        <v/>
      </c>
      <c r="J36" s="8">
        <f>IF($H36="","",INDEX(BangTra!$B$2:$D$11,MATCH($H36,BangTra!$A$2:$A$11,1),IF($G36="Đội trưởng",3,IF($G36="Đội phó",2,1))))</f>
        <v/>
      </c>
      <c r="K36" s="10" t="inlineStr">
        <is>
          <t>CSKV TT</t>
        </is>
      </c>
      <c r="L36" s="10" t="inlineStr"/>
      <c r="M36" s="10" t="inlineStr">
        <is>
          <t>074069000150</t>
        </is>
      </c>
      <c r="N36" s="10" t="inlineStr">
        <is>
          <t>13/01/2022</t>
        </is>
      </c>
      <c r="O36" s="11" t="inlineStr">
        <is>
          <t>Cục trưởng cục cảnh sát - Quản lý hành chính về trật tự xã hội</t>
        </is>
      </c>
      <c r="P36" s="12" t="inlineStr">
        <is>
          <t>Trà Vinh</t>
        </is>
      </c>
      <c r="Q36" s="11" t="inlineStr">
        <is>
          <t>Số 28, đường Phó Đức Chính, phường 1, quận Bình Thạnh, Tp.HCM</t>
        </is>
      </c>
      <c r="R36" s="11" t="inlineStr"/>
      <c r="S36" s="11" t="inlineStr">
        <is>
          <t>Chứng chỉ sơ cấp nghề Kỹ thuật điện (Trường cao đẳng điện lực)</t>
        </is>
      </c>
      <c r="T36" s="10" t="inlineStr">
        <is>
          <t>0908204698</t>
        </is>
      </c>
      <c r="U36" s="12" t="inlineStr"/>
      <c r="V36" s="10" t="inlineStr">
        <is>
          <t>DN4790298083093</t>
        </is>
      </c>
      <c r="W36" s="10" t="inlineStr"/>
    </row>
    <row r="37">
      <c r="A37" s="6" t="n">
        <v>31</v>
      </c>
      <c r="B37" s="6" t="inlineStr">
        <is>
          <t>K2000</t>
        </is>
      </c>
      <c r="C37" s="7" t="inlineStr">
        <is>
          <t>TỐNG VĂN KHANH</t>
        </is>
      </c>
      <c r="D37" s="6" t="inlineStr">
        <is>
          <t>Nam</t>
        </is>
      </c>
      <c r="E37" s="6" t="inlineStr">
        <is>
          <t>27/03/1977</t>
        </is>
      </c>
      <c r="F37" s="6" t="inlineStr">
        <is>
          <t>CÔNG NHÂN</t>
        </is>
      </c>
      <c r="G37" s="6" t="inlineStr">
        <is>
          <t>CN/NV thường</t>
        </is>
      </c>
      <c r="H37" s="8" t="n"/>
      <c r="I37" s="8">
        <f>IF($H37="","",IF($H37&gt;=90,"Xuất sắc (A+)",IF($H37&gt;=85,"Giỏi (A)",IF($H37&gt;=80,"Tốt (A-)",IF($H37&gt;=75,"Khá (B+)",IF($H37&gt;=70,"Khá (B)",IF($H37&gt;=65,"Khá (B-)",IF($H37&gt;=60,"Trung bình (C+)",IF($H37&gt;=55,"Trung bình (C)",IF($H37&gt;=50,"Yếu (D)","Không đạt (F)"))))))))))</f>
        <v/>
      </c>
      <c r="J37" s="8">
        <f>IF($H37="","",INDEX(BangTra!$B$2:$D$11,MATCH($H37,BangTra!$A$2:$A$11,1),IF($G37="Đội trưởng",3,IF($G37="Đội phó",2,1))))</f>
        <v/>
      </c>
      <c r="K37" s="6" t="inlineStr">
        <is>
          <t>CSKV TT</t>
        </is>
      </c>
      <c r="L37" s="6" t="inlineStr"/>
      <c r="M37" s="6" t="inlineStr">
        <is>
          <t>023071840</t>
        </is>
      </c>
      <c r="N37" s="6" t="inlineStr">
        <is>
          <t>13/06/2007</t>
        </is>
      </c>
      <c r="O37" s="7" t="inlineStr">
        <is>
          <t>CA TP.HCM</t>
        </is>
      </c>
      <c r="P37" s="9" t="inlineStr">
        <is>
          <t>Tp.HCM</t>
        </is>
      </c>
      <c r="Q37" s="7" t="inlineStr">
        <is>
          <t>Số 231/44/23, đường Bình Tiên, phường 8, quận 6, Tp.HCM</t>
        </is>
      </c>
      <c r="R37" s="7" t="inlineStr"/>
      <c r="S37" s="7" t="inlineStr">
        <is>
          <t>Chứng chỉ sơ cấp nghề Kỹ thuật điện (Trường cao đẳng điện lực)</t>
        </is>
      </c>
      <c r="T37" s="6" t="inlineStr">
        <is>
          <t>0941208421</t>
        </is>
      </c>
      <c r="U37" s="9" t="inlineStr"/>
      <c r="V37" s="6" t="inlineStr">
        <is>
          <t>DN4797910300161</t>
        </is>
      </c>
      <c r="W37" s="6" t="inlineStr"/>
    </row>
    <row r="38">
      <c r="A38" s="10" t="n">
        <v>32</v>
      </c>
      <c r="B38" s="10" t="inlineStr">
        <is>
          <t>D1370</t>
        </is>
      </c>
      <c r="C38" s="11" t="inlineStr">
        <is>
          <t>TRẦN ĐỨC ĐỊNH</t>
        </is>
      </c>
      <c r="D38" s="10" t="inlineStr">
        <is>
          <t>Nam</t>
        </is>
      </c>
      <c r="E38" s="10" t="inlineStr">
        <is>
          <t>02/09/1980</t>
        </is>
      </c>
      <c r="F38" s="10" t="inlineStr">
        <is>
          <t>CÔNG NHÂN</t>
        </is>
      </c>
      <c r="G38" s="10" t="inlineStr">
        <is>
          <t>CN/NV thường</t>
        </is>
      </c>
      <c r="H38" s="8" t="n"/>
      <c r="I38" s="8">
        <f>IF($H38="","",IF($H38&gt;=90,"Xuất sắc (A+)",IF($H38&gt;=85,"Giỏi (A)",IF($H38&gt;=80,"Tốt (A-)",IF($H38&gt;=75,"Khá (B+)",IF($H38&gt;=70,"Khá (B)",IF($H38&gt;=65,"Khá (B-)",IF($H38&gt;=60,"Trung bình (C+)",IF($H38&gt;=55,"Trung bình (C)",IF($H38&gt;=50,"Yếu (D)","Không đạt (F)"))))))))))</f>
        <v/>
      </c>
      <c r="J38" s="8">
        <f>IF($H38="","",INDEX(BangTra!$B$2:$D$11,MATCH($H38,BangTra!$A$2:$A$11,1),IF($G38="Đội trưởng",3,IF($G38="Đội phó",2,1))))</f>
        <v/>
      </c>
      <c r="K38" s="10" t="inlineStr">
        <is>
          <t>CSKV TT</t>
        </is>
      </c>
      <c r="L38" s="10" t="inlineStr"/>
      <c r="M38" s="10" t="inlineStr">
        <is>
          <t>037080004417</t>
        </is>
      </c>
      <c r="N38" s="10" t="inlineStr">
        <is>
          <t>02/04/2021</t>
        </is>
      </c>
      <c r="O38" s="11" t="inlineStr">
        <is>
          <t>Cục trưởng cục cảnh sát - Quản lý hành chính về trật tự xã hội</t>
        </is>
      </c>
      <c r="P38" s="12" t="inlineStr">
        <is>
          <t>Ninh Bình</t>
        </is>
      </c>
      <c r="Q38" s="11" t="inlineStr">
        <is>
          <t>Số 51/31, đường Lý Phục Man, Khu phố 2, phường Bình Thuận, quận 7, Tp.HCM</t>
        </is>
      </c>
      <c r="R38" s="11" t="inlineStr"/>
      <c r="S38" s="11" t="inlineStr">
        <is>
          <t>Chứng chỉ sơ cấp nghề Kỹ thuật điện (Trường cao đẳng điện lực)</t>
        </is>
      </c>
      <c r="T38" s="10" t="inlineStr">
        <is>
          <t>0931298268</t>
        </is>
      </c>
      <c r="U38" s="12" t="inlineStr"/>
      <c r="V38" s="10" t="inlineStr">
        <is>
          <t>DN4790203223952</t>
        </is>
      </c>
      <c r="W38" s="10" t="inlineStr"/>
    </row>
    <row r="39">
      <c r="A39" s="6" t="n">
        <v>33</v>
      </c>
      <c r="B39" s="6" t="inlineStr">
        <is>
          <t>H1715</t>
        </is>
      </c>
      <c r="C39" s="7" t="inlineStr">
        <is>
          <t>NGUYỄN CHÍ HIẾU</t>
        </is>
      </c>
      <c r="D39" s="6" t="inlineStr">
        <is>
          <t>Nam</t>
        </is>
      </c>
      <c r="E39" s="6" t="inlineStr">
        <is>
          <t>06/06/1967</t>
        </is>
      </c>
      <c r="F39" s="6" t="inlineStr">
        <is>
          <t>CÔNG NHÂN</t>
        </is>
      </c>
      <c r="G39" s="6" t="inlineStr">
        <is>
          <t>CN/NV thường</t>
        </is>
      </c>
      <c r="H39" s="8" t="n"/>
      <c r="I39" s="8">
        <f>IF($H39="","",IF($H39&gt;=90,"Xuất sắc (A+)",IF($H39&gt;=85,"Giỏi (A)",IF($H39&gt;=80,"Tốt (A-)",IF($H39&gt;=75,"Khá (B+)",IF($H39&gt;=70,"Khá (B)",IF($H39&gt;=65,"Khá (B-)",IF($H39&gt;=60,"Trung bình (C+)",IF($H39&gt;=55,"Trung bình (C)",IF($H39&gt;=50,"Yếu (D)","Không đạt (F)"))))))))))</f>
        <v/>
      </c>
      <c r="J39" s="8">
        <f>IF($H39="","",INDEX(BangTra!$B$2:$D$11,MATCH($H39,BangTra!$A$2:$A$11,1),IF($G39="Đội trưởng",3,IF($G39="Đội phó",2,1))))</f>
        <v/>
      </c>
      <c r="K39" s="6" t="inlineStr">
        <is>
          <t>CSKV TT</t>
        </is>
      </c>
      <c r="L39" s="6" t="inlineStr"/>
      <c r="M39" s="6" t="inlineStr">
        <is>
          <t>092067013467</t>
        </is>
      </c>
      <c r="N39" s="6" t="inlineStr">
        <is>
          <t>10/05/2021</t>
        </is>
      </c>
      <c r="O39" s="7" t="inlineStr">
        <is>
          <t>Cục trưởng cục cảnh sát - Quản lý hành chính về trật tự xã hội</t>
        </is>
      </c>
      <c r="P39" s="9" t="inlineStr">
        <is>
          <t>Đồng Tháp</t>
        </is>
      </c>
      <c r="Q39" s="7" t="inlineStr">
        <is>
          <t>Số 231/85, đường Bình Tiên, phường 8, quận 6, Tp.HCM</t>
        </is>
      </c>
      <c r="R39" s="7" t="inlineStr">
        <is>
          <t>Số 3/1, đường Lý Đạo Thành, phường 16, quận 8, Tp.HCM</t>
        </is>
      </c>
      <c r="S39" s="7" t="inlineStr">
        <is>
          <t>Chứng chỉ sơ cấp nghề Kỹ thuật điện (Trường cao đẳng điện lực)</t>
        </is>
      </c>
      <c r="T39" s="6" t="inlineStr">
        <is>
          <t>0903877451</t>
        </is>
      </c>
      <c r="U39" s="9" t="inlineStr"/>
      <c r="V39" s="6" t="inlineStr">
        <is>
          <t>DN4790296242077</t>
        </is>
      </c>
      <c r="W39" s="6" t="inlineStr"/>
    </row>
    <row r="40">
      <c r="A40" s="10" t="n">
        <v>34</v>
      </c>
      <c r="B40" s="10" t="inlineStr">
        <is>
          <t>H1635</t>
        </is>
      </c>
      <c r="C40" s="11" t="inlineStr">
        <is>
          <t>NGUYỄN VĂN HẬU</t>
        </is>
      </c>
      <c r="D40" s="10" t="inlineStr">
        <is>
          <t>Nam</t>
        </is>
      </c>
      <c r="E40" s="10" t="inlineStr">
        <is>
          <t>04/02/1994</t>
        </is>
      </c>
      <c r="F40" s="10" t="inlineStr">
        <is>
          <t>CÔNG NHÂN</t>
        </is>
      </c>
      <c r="G40" s="10" t="inlineStr">
        <is>
          <t>CN/NV thường</t>
        </is>
      </c>
      <c r="H40" s="8" t="n"/>
      <c r="I40" s="8">
        <f>IF($H40="","",IF($H40&gt;=90,"Xuất sắc (A+)",IF($H40&gt;=85,"Giỏi (A)",IF($H40&gt;=80,"Tốt (A-)",IF($H40&gt;=75,"Khá (B+)",IF($H40&gt;=70,"Khá (B)",IF($H40&gt;=65,"Khá (B-)",IF($H40&gt;=60,"Trung bình (C+)",IF($H40&gt;=55,"Trung bình (C)",IF($H40&gt;=50,"Yếu (D)","Không đạt (F)"))))))))))</f>
        <v/>
      </c>
      <c r="J40" s="8">
        <f>IF($H40="","",INDEX(BangTra!$B$2:$D$11,MATCH($H40,BangTra!$A$2:$A$11,1),IF($G40="Đội trưởng",3,IF($G40="Đội phó",2,1))))</f>
        <v/>
      </c>
      <c r="K40" s="10" t="inlineStr">
        <is>
          <t>CSKV TT</t>
        </is>
      </c>
      <c r="L40" s="10" t="inlineStr"/>
      <c r="M40" s="10" t="inlineStr">
        <is>
          <t>024995566</t>
        </is>
      </c>
      <c r="N40" s="10" t="inlineStr">
        <is>
          <t>14/11/2008</t>
        </is>
      </c>
      <c r="O40" s="11" t="inlineStr">
        <is>
          <t>CA TP.HCM</t>
        </is>
      </c>
      <c r="P40" s="12" t="inlineStr">
        <is>
          <t>Tp.HCM</t>
        </is>
      </c>
      <c r="Q40" s="11" t="inlineStr">
        <is>
          <t>Số 122/27/77/4, đường Tôn Đản, phường 8, quận 4, Tp.HCM</t>
        </is>
      </c>
      <c r="R40" s="11" t="inlineStr">
        <is>
          <t>Số 152/09, đường Âu Dương Lân, phường 3, quận 8, Tp HCM</t>
        </is>
      </c>
      <c r="S40" s="11" t="inlineStr">
        <is>
          <t>Chứng chỉ sơ cấp nghề Kỹ thuật điện (Trường cao đẳng điện lực)</t>
        </is>
      </c>
      <c r="T40" s="10" t="inlineStr">
        <is>
          <t>0933033754</t>
        </is>
      </c>
      <c r="U40" s="12" t="inlineStr"/>
      <c r="V40" s="10" t="inlineStr">
        <is>
          <t>DN4797912382519</t>
        </is>
      </c>
      <c r="W40" s="10" t="inlineStr"/>
    </row>
    <row r="41">
      <c r="A41" s="6" t="n">
        <v>35</v>
      </c>
      <c r="B41" s="6" t="inlineStr">
        <is>
          <t>P2595</t>
        </is>
      </c>
      <c r="C41" s="7" t="inlineStr">
        <is>
          <t>NGUYỄN BÁ PHƯỚC</t>
        </is>
      </c>
      <c r="D41" s="6" t="inlineStr">
        <is>
          <t>Nam</t>
        </is>
      </c>
      <c r="E41" s="6" t="inlineStr">
        <is>
          <t>17/09/1975</t>
        </is>
      </c>
      <c r="F41" s="6" t="inlineStr">
        <is>
          <t>CÔNG NHÂN</t>
        </is>
      </c>
      <c r="G41" s="6" t="inlineStr">
        <is>
          <t>CN/NV thường</t>
        </is>
      </c>
      <c r="H41" s="8" t="n"/>
      <c r="I41" s="8">
        <f>IF($H41="","",IF($H41&gt;=90,"Xuất sắc (A+)",IF($H41&gt;=85,"Giỏi (A)",IF($H41&gt;=80,"Tốt (A-)",IF($H41&gt;=75,"Khá (B+)",IF($H41&gt;=70,"Khá (B)",IF($H41&gt;=65,"Khá (B-)",IF($H41&gt;=60,"Trung bình (C+)",IF($H41&gt;=55,"Trung bình (C)",IF($H41&gt;=50,"Yếu (D)","Không đạt (F)"))))))))))</f>
        <v/>
      </c>
      <c r="J41" s="8">
        <f>IF($H41="","",INDEX(BangTra!$B$2:$D$11,MATCH($H41,BangTra!$A$2:$A$11,1),IF($G41="Đội trưởng",3,IF($G41="Đội phó",2,1))))</f>
        <v/>
      </c>
      <c r="K41" s="6" t="inlineStr">
        <is>
          <t>CSKV TT</t>
        </is>
      </c>
      <c r="L41" s="6" t="inlineStr"/>
      <c r="M41" s="6" t="inlineStr">
        <is>
          <t>079075037434</t>
        </is>
      </c>
      <c r="N41" s="6" t="inlineStr">
        <is>
          <t>12/08/2021</t>
        </is>
      </c>
      <c r="O41" s="7" t="inlineStr">
        <is>
          <t>Cục trưởng cục cảnh sát - Quản lý hành chính về trật tự xã hội</t>
        </is>
      </c>
      <c r="P41" s="9" t="inlineStr">
        <is>
          <t>Tp.HCM</t>
        </is>
      </c>
      <c r="Q41" s="7" t="inlineStr">
        <is>
          <t>Số 752/19, đường Lạc Long Quân, phường 09, quận Tân Bình, Tp.HCM</t>
        </is>
      </c>
      <c r="R41" s="7" t="inlineStr"/>
      <c r="S41" s="7" t="inlineStr">
        <is>
          <t>Chứng chỉ sơ cấp nghề Kỹ thuật điện (Trường cao đẳng điện lực)</t>
        </is>
      </c>
      <c r="T41" s="6" t="inlineStr">
        <is>
          <t>0908144500</t>
        </is>
      </c>
      <c r="U41" s="9" t="inlineStr"/>
      <c r="V41" s="6" t="inlineStr">
        <is>
          <t>DN4790296242118</t>
        </is>
      </c>
      <c r="W41" s="6" t="inlineStr"/>
    </row>
    <row r="42">
      <c r="A42" s="10" t="n">
        <v>36</v>
      </c>
      <c r="B42" s="10" t="inlineStr">
        <is>
          <t>T3120</t>
        </is>
      </c>
      <c r="C42" s="11" t="inlineStr">
        <is>
          <t>LÊ THỌ</t>
        </is>
      </c>
      <c r="D42" s="10" t="inlineStr">
        <is>
          <t>Nam</t>
        </is>
      </c>
      <c r="E42" s="10" t="inlineStr">
        <is>
          <t>27/08/1981</t>
        </is>
      </c>
      <c r="F42" s="10" t="inlineStr">
        <is>
          <t>CÔNG NHÂN</t>
        </is>
      </c>
      <c r="G42" s="10" t="inlineStr">
        <is>
          <t>CN/NV thường</t>
        </is>
      </c>
      <c r="H42" s="8" t="n"/>
      <c r="I42" s="8">
        <f>IF($H42="","",IF($H42&gt;=90,"Xuất sắc (A+)",IF($H42&gt;=85,"Giỏi (A)",IF($H42&gt;=80,"Tốt (A-)",IF($H42&gt;=75,"Khá (B+)",IF($H42&gt;=70,"Khá (B)",IF($H42&gt;=65,"Khá (B-)",IF($H42&gt;=60,"Trung bình (C+)",IF($H42&gt;=55,"Trung bình (C)",IF($H42&gt;=50,"Yếu (D)","Không đạt (F)"))))))))))</f>
        <v/>
      </c>
      <c r="J42" s="8">
        <f>IF($H42="","",INDEX(BangTra!$B$2:$D$11,MATCH($H42,BangTra!$A$2:$A$11,1),IF($G42="Đội trưởng",3,IF($G42="Đội phó",2,1))))</f>
        <v/>
      </c>
      <c r="K42" s="10" t="inlineStr">
        <is>
          <t>CSKV TT</t>
        </is>
      </c>
      <c r="L42" s="10" t="inlineStr"/>
      <c r="M42" s="10" t="inlineStr">
        <is>
          <t>211772580</t>
        </is>
      </c>
      <c r="N42" s="10" t="inlineStr">
        <is>
          <t>15/07/2016</t>
        </is>
      </c>
      <c r="O42" s="11" t="inlineStr">
        <is>
          <t>CA Bình Định</t>
        </is>
      </c>
      <c r="P42" s="12" t="inlineStr">
        <is>
          <t>Bình Định</t>
        </is>
      </c>
      <c r="Q42" s="11" t="inlineStr">
        <is>
          <t>Thị trấn Tam Quan, huyện Hoài Nhơn, tỉnh Bình Định</t>
        </is>
      </c>
      <c r="R42" s="11" t="inlineStr"/>
      <c r="S42" s="11" t="inlineStr">
        <is>
          <t>Chứng chỉ sơ cấp nghề Kỹ thuật điện (Trường cao đẳng điện lực)</t>
        </is>
      </c>
      <c r="T42" s="10" t="inlineStr">
        <is>
          <t>0977890833</t>
        </is>
      </c>
      <c r="U42" s="12" t="inlineStr"/>
      <c r="V42" s="10" t="inlineStr">
        <is>
          <t>DN4790206343912</t>
        </is>
      </c>
      <c r="W42" s="10" t="inlineStr"/>
    </row>
    <row r="43">
      <c r="A43" s="6" t="n">
        <v>37</v>
      </c>
      <c r="B43" s="6" t="inlineStr">
        <is>
          <t>T3545</t>
        </is>
      </c>
      <c r="C43" s="7" t="inlineStr">
        <is>
          <t>NGUYỄN ĐÔNG TÙNG</t>
        </is>
      </c>
      <c r="D43" s="6" t="inlineStr">
        <is>
          <t>Nam</t>
        </is>
      </c>
      <c r="E43" s="6" t="inlineStr">
        <is>
          <t>06/05/1965</t>
        </is>
      </c>
      <c r="F43" s="6" t="inlineStr">
        <is>
          <t>Đội trưởng</t>
        </is>
      </c>
      <c r="G43" s="6" t="inlineStr">
        <is>
          <t>Đội trưởng</t>
        </is>
      </c>
      <c r="H43" s="8" t="n"/>
      <c r="I43" s="8">
        <f>IF($H43="","",IF($H43&gt;=90,"Xuất sắc (A+)",IF($H43&gt;=85,"Giỏi (A)",IF($H43&gt;=80,"Tốt (A-)",IF($H43&gt;=75,"Khá (B+)",IF($H43&gt;=70,"Khá (B)",IF($H43&gt;=65,"Khá (B-)",IF($H43&gt;=60,"Trung bình (C+)",IF($H43&gt;=55,"Trung bình (C)",IF($H43&gt;=50,"Yếu (D)","Không đạt (F)"))))))))))</f>
        <v/>
      </c>
      <c r="J43" s="8">
        <f>IF($H43="","",INDEX(BangTra!$B$2:$D$11,MATCH($H43,BangTra!$A$2:$A$11,1),IF($G43="Đội trưởng",3,IF($G43="Đội phó",2,1))))</f>
        <v/>
      </c>
      <c r="K43" s="6" t="inlineStr">
        <is>
          <t>CSKV TT</t>
        </is>
      </c>
      <c r="L43" s="6" t="inlineStr"/>
      <c r="M43" s="6" t="inlineStr">
        <is>
          <t>079065000856</t>
        </is>
      </c>
      <c r="N43" s="6" t="inlineStr">
        <is>
          <t>19/12/2021</t>
        </is>
      </c>
      <c r="O43" s="7" t="inlineStr">
        <is>
          <t>Cục trưởng cục cảnh sát - Quản lý hành chính về trật tự xã hội</t>
        </is>
      </c>
      <c r="P43" s="9" t="inlineStr">
        <is>
          <t>Hưng Yên</t>
        </is>
      </c>
      <c r="Q43" s="7" t="inlineStr">
        <is>
          <t>Số 343/13A, đường Nguyễn Trọng Tuyển, phường 1, quận Tân Bình, Tp.HCM</t>
        </is>
      </c>
      <c r="R43" s="7" t="inlineStr"/>
      <c r="S43" s="7" t="inlineStr">
        <is>
          <t>Chứng chỉ sơ cấp nghề Kỹ thuật điện (Trường cao đẳng điện lực)</t>
        </is>
      </c>
      <c r="T43" s="6" t="inlineStr">
        <is>
          <t>0903745558</t>
        </is>
      </c>
      <c r="U43" s="9" t="inlineStr"/>
      <c r="V43" s="6" t="inlineStr">
        <is>
          <t>DN4790296242125</t>
        </is>
      </c>
      <c r="W43" s="6" t="inlineStr"/>
    </row>
    <row r="44">
      <c r="A44" s="10" t="n">
        <v>38</v>
      </c>
      <c r="B44" s="10" t="inlineStr">
        <is>
          <t>B1115</t>
        </is>
      </c>
      <c r="C44" s="11" t="inlineStr">
        <is>
          <t>DƯƠNG VĂN BÌNH</t>
        </is>
      </c>
      <c r="D44" s="10" t="inlineStr">
        <is>
          <t>Nam</t>
        </is>
      </c>
      <c r="E44" s="10" t="inlineStr">
        <is>
          <t>05/01/1973</t>
        </is>
      </c>
      <c r="F44" s="10" t="inlineStr">
        <is>
          <t>CÔNG NHÂN</t>
        </is>
      </c>
      <c r="G44" s="10" t="inlineStr">
        <is>
          <t>CN/NV thường</t>
        </is>
      </c>
      <c r="H44" s="8" t="n"/>
      <c r="I44" s="8">
        <f>IF($H44="","",IF($H44&gt;=90,"Xuất sắc (A+)",IF($H44&gt;=85,"Giỏi (A)",IF($H44&gt;=80,"Tốt (A-)",IF($H44&gt;=75,"Khá (B+)",IF($H44&gt;=70,"Khá (B)",IF($H44&gt;=65,"Khá (B-)",IF($H44&gt;=60,"Trung bình (C+)",IF($H44&gt;=55,"Trung bình (C)",IF($H44&gt;=50,"Yếu (D)","Không đạt (F)"))))))))))</f>
        <v/>
      </c>
      <c r="J44" s="8">
        <f>IF($H44="","",INDEX(BangTra!$B$2:$D$11,MATCH($H44,BangTra!$A$2:$A$11,1),IF($G44="Đội trưởng",3,IF($G44="Đội phó",2,1))))</f>
        <v/>
      </c>
      <c r="K44" s="10" t="inlineStr">
        <is>
          <t>CSKV TT</t>
        </is>
      </c>
      <c r="L44" s="10" t="inlineStr"/>
      <c r="M44" s="10" t="inlineStr">
        <is>
          <t>079073010004</t>
        </is>
      </c>
      <c r="N44" s="10" t="inlineStr">
        <is>
          <t>29/11/2021</t>
        </is>
      </c>
      <c r="O44" s="11" t="inlineStr">
        <is>
          <t>Cục trưởng cục cảnh sát - Quản lý hành chính về trật tự xã hội</t>
        </is>
      </c>
      <c r="P44" s="12" t="inlineStr">
        <is>
          <t>Bạc Liêu</t>
        </is>
      </c>
      <c r="Q44" s="11" t="inlineStr">
        <is>
          <t>Số 18/32 K4, đường Trần Quang Diệu, phường 14, quận 3, Tp.HCM</t>
        </is>
      </c>
      <c r="R44" s="11" t="inlineStr"/>
      <c r="S44" s="11" t="inlineStr">
        <is>
          <t>Chứng chỉ sơ cấp nghề Kỹ thuật điện (Trường cao đẳng điện lực)</t>
        </is>
      </c>
      <c r="T44" s="10" t="inlineStr">
        <is>
          <t>0932618938</t>
        </is>
      </c>
      <c r="U44" s="12" t="inlineStr"/>
      <c r="V44" s="10" t="inlineStr">
        <is>
          <t>DN4790204135966</t>
        </is>
      </c>
      <c r="W44" s="10" t="inlineStr"/>
    </row>
    <row r="45">
      <c r="A45" s="6" t="n">
        <v>39</v>
      </c>
      <c r="B45" s="6" t="inlineStr">
        <is>
          <t>N2455</t>
        </is>
      </c>
      <c r="C45" s="7" t="inlineStr">
        <is>
          <t>HỒ VĂN NHÂN</t>
        </is>
      </c>
      <c r="D45" s="6" t="inlineStr">
        <is>
          <t>Nam</t>
        </is>
      </c>
      <c r="E45" s="6" t="inlineStr">
        <is>
          <t>03/11/1977</t>
        </is>
      </c>
      <c r="F45" s="6" t="inlineStr">
        <is>
          <t>CÔNG NHÂN</t>
        </is>
      </c>
      <c r="G45" s="6" t="inlineStr">
        <is>
          <t>CN/NV thường</t>
        </is>
      </c>
      <c r="H45" s="8" t="n"/>
      <c r="I45" s="8">
        <f>IF($H45="","",IF($H45&gt;=90,"Xuất sắc (A+)",IF($H45&gt;=85,"Giỏi (A)",IF($H45&gt;=80,"Tốt (A-)",IF($H45&gt;=75,"Khá (B+)",IF($H45&gt;=70,"Khá (B)",IF($H45&gt;=65,"Khá (B-)",IF($H45&gt;=60,"Trung bình (C+)",IF($H45&gt;=55,"Trung bình (C)",IF($H45&gt;=50,"Yếu (D)","Không đạt (F)"))))))))))</f>
        <v/>
      </c>
      <c r="J45" s="8">
        <f>IF($H45="","",INDEX(BangTra!$B$2:$D$11,MATCH($H45,BangTra!$A$2:$A$11,1),IF($G45="Đội trưởng",3,IF($G45="Đội phó",2,1))))</f>
        <v/>
      </c>
      <c r="K45" s="6" t="inlineStr">
        <is>
          <t>CSKV TT</t>
        </is>
      </c>
      <c r="L45" s="6" t="inlineStr"/>
      <c r="M45" s="6" t="inlineStr">
        <is>
          <t>079077016083</t>
        </is>
      </c>
      <c r="N45" s="6" t="inlineStr">
        <is>
          <t>10/04/2021</t>
        </is>
      </c>
      <c r="O45" s="7" t="inlineStr">
        <is>
          <t>Cục trưởng cục cảnh sát - Quản lý hành chính về trật tự xã hội</t>
        </is>
      </c>
      <c r="P45" s="9" t="inlineStr">
        <is>
          <t>Quảng Nam</t>
        </is>
      </c>
      <c r="Q45" s="7" t="inlineStr">
        <is>
          <t>Số 76, đường Phan Đăng Lưu, phường 5, quận Phú Nhuận, Tp.HCM</t>
        </is>
      </c>
      <c r="R45" s="7" t="inlineStr"/>
      <c r="S45" s="7" t="inlineStr">
        <is>
          <t>Chứng chỉ sơ cấp nghề Kỹ thuật điện (Trường cao đẳng điện lực)</t>
        </is>
      </c>
      <c r="T45" s="6" t="inlineStr">
        <is>
          <t>0908121454</t>
        </is>
      </c>
      <c r="U45" s="9" t="inlineStr"/>
      <c r="V45" s="6" t="inlineStr">
        <is>
          <t>DN4790298046351</t>
        </is>
      </c>
      <c r="W45" s="6" t="inlineStr"/>
    </row>
    <row r="46">
      <c r="A46" s="10" t="n">
        <v>40</v>
      </c>
      <c r="B46" s="10" t="inlineStr">
        <is>
          <t>H1905</t>
        </is>
      </c>
      <c r="C46" s="11" t="inlineStr">
        <is>
          <t>TĂNG QUỐC HƯNG</t>
        </is>
      </c>
      <c r="D46" s="10" t="inlineStr">
        <is>
          <t>Nam</t>
        </is>
      </c>
      <c r="E46" s="10" t="inlineStr">
        <is>
          <t>08/10/1968</t>
        </is>
      </c>
      <c r="F46" s="10" t="inlineStr">
        <is>
          <t>CÔNG NHÂN</t>
        </is>
      </c>
      <c r="G46" s="10" t="inlineStr">
        <is>
          <t>CN/NV thường</t>
        </is>
      </c>
      <c r="H46" s="8" t="n"/>
      <c r="I46" s="8">
        <f>IF($H46="","",IF($H46&gt;=90,"Xuất sắc (A+)",IF($H46&gt;=85,"Giỏi (A)",IF($H46&gt;=80,"Tốt (A-)",IF($H46&gt;=75,"Khá (B+)",IF($H46&gt;=70,"Khá (B)",IF($H46&gt;=65,"Khá (B-)",IF($H46&gt;=60,"Trung bình (C+)",IF($H46&gt;=55,"Trung bình (C)",IF($H46&gt;=50,"Yếu (D)","Không đạt (F)"))))))))))</f>
        <v/>
      </c>
      <c r="J46" s="8">
        <f>IF($H46="","",INDEX(BangTra!$B$2:$D$11,MATCH($H46,BangTra!$A$2:$A$11,1),IF($G46="Đội trưởng",3,IF($G46="Đội phó",2,1))))</f>
        <v/>
      </c>
      <c r="K46" s="10" t="inlineStr">
        <is>
          <t>CSKV TT</t>
        </is>
      </c>
      <c r="L46" s="10" t="inlineStr"/>
      <c r="M46" s="10" t="inlineStr">
        <is>
          <t>074068007791</t>
        </is>
      </c>
      <c r="N46" s="10" t="inlineStr">
        <is>
          <t>10/07/2021</t>
        </is>
      </c>
      <c r="O46" s="11" t="inlineStr">
        <is>
          <t>Cục trưởng cục cảnh sát - Quản lý hành chính về trật tự xã hội</t>
        </is>
      </c>
      <c r="P46" s="12" t="inlineStr">
        <is>
          <t>Bình Dương</t>
        </is>
      </c>
      <c r="Q46" s="11" t="inlineStr">
        <is>
          <t>Số 69/57/3, đường Nguyễn Cửu Đàm, phường Tân Sơn Nhì, quận Tân Phú, Tp.HCM</t>
        </is>
      </c>
      <c r="R46" s="11" t="inlineStr"/>
      <c r="S46" s="11" t="inlineStr">
        <is>
          <t>Chứng chỉ sơ cấp nghề Kỹ thuật điện (Trường cao đẳng điện lực)</t>
        </is>
      </c>
      <c r="T46" s="10" t="inlineStr">
        <is>
          <t>0908579478</t>
        </is>
      </c>
      <c r="U46" s="12" t="inlineStr"/>
      <c r="V46" s="10" t="inlineStr">
        <is>
          <t>DN4790298075215</t>
        </is>
      </c>
      <c r="W46" s="10" t="inlineStr"/>
    </row>
    <row r="47">
      <c r="A47" s="6" t="n">
        <v>41</v>
      </c>
      <c r="B47" s="6" t="inlineStr">
        <is>
          <t>H4535</t>
        </is>
      </c>
      <c r="C47" s="7" t="inlineStr">
        <is>
          <t>Đào Thế Hiển</t>
        </is>
      </c>
      <c r="D47" s="6" t="inlineStr">
        <is>
          <t>Nam</t>
        </is>
      </c>
      <c r="E47" s="6" t="inlineStr">
        <is>
          <t>04/06/1998</t>
        </is>
      </c>
      <c r="F47" s="6" t="inlineStr">
        <is>
          <t>CÔNG NHÂN</t>
        </is>
      </c>
      <c r="G47" s="6" t="inlineStr">
        <is>
          <t>CN/NV thường</t>
        </is>
      </c>
      <c r="H47" s="8" t="n"/>
      <c r="I47" s="8">
        <f>IF($H47="","",IF($H47&gt;=90,"Xuất sắc (A+)",IF($H47&gt;=85,"Giỏi (A)",IF($H47&gt;=80,"Tốt (A-)",IF($H47&gt;=75,"Khá (B+)",IF($H47&gt;=70,"Khá (B)",IF($H47&gt;=65,"Khá (B-)",IF($H47&gt;=60,"Trung bình (C+)",IF($H47&gt;=55,"Trung bình (C)",IF($H47&gt;=50,"Yếu (D)","Không đạt (F)"))))))))))</f>
        <v/>
      </c>
      <c r="J47" s="8">
        <f>IF($H47="","",INDEX(BangTra!$B$2:$D$11,MATCH($H47,BangTra!$A$2:$A$11,1),IF($G47="Đội trưởng",3,IF($G47="Đội phó",2,1))))</f>
        <v/>
      </c>
      <c r="K47" s="6" t="inlineStr"/>
      <c r="L47" s="6" t="inlineStr"/>
      <c r="M47" s="6" t="inlineStr">
        <is>
          <t>079098008781</t>
        </is>
      </c>
      <c r="N47" s="6" t="inlineStr">
        <is>
          <t>12/01/2022</t>
        </is>
      </c>
      <c r="O47" s="7" t="inlineStr">
        <is>
          <t>Cục trưởng cục cảnh sát - Quản lý hành chính về trật tự xã hội</t>
        </is>
      </c>
      <c r="P47" s="9" t="inlineStr">
        <is>
          <t>Cự Khối, Long Biên, Hà Nội</t>
        </is>
      </c>
      <c r="Q47" s="7" t="inlineStr">
        <is>
          <t>Số 175/26 Cống Lở, P.15, quận Tân Bình, Tp.HCM</t>
        </is>
      </c>
      <c r="R47" s="7" t="inlineStr"/>
      <c r="S47" s="7" t="inlineStr">
        <is>
          <t>Cao đẳng Công nghệ kỹ thuật điện, điện tử</t>
        </is>
      </c>
      <c r="T47" s="6" t="inlineStr">
        <is>
          <t>0906319846</t>
        </is>
      </c>
      <c r="U47" s="9" t="inlineStr"/>
      <c r="V47" s="6" t="inlineStr"/>
      <c r="W47" s="6" t="inlineStr"/>
    </row>
    <row r="48">
      <c r="A48" s="10" t="n">
        <v>42</v>
      </c>
      <c r="B48" s="10" t="inlineStr">
        <is>
          <t>N4545</t>
        </is>
      </c>
      <c r="C48" s="11" t="inlineStr">
        <is>
          <t>Nguyễn Trần Hiếu Nghĩa</t>
        </is>
      </c>
      <c r="D48" s="10" t="inlineStr">
        <is>
          <t>Nam</t>
        </is>
      </c>
      <c r="E48" s="10" t="inlineStr">
        <is>
          <t>24/10/2000</t>
        </is>
      </c>
      <c r="F48" s="10" t="inlineStr">
        <is>
          <t>CÔNG NHÂN</t>
        </is>
      </c>
      <c r="G48" s="10" t="inlineStr">
        <is>
          <t>CN/NV thường</t>
        </is>
      </c>
      <c r="H48" s="8" t="n"/>
      <c r="I48" s="8">
        <f>IF($H48="","",IF($H48&gt;=90,"Xuất sắc (A+)",IF($H48&gt;=85,"Giỏi (A)",IF($H48&gt;=80,"Tốt (A-)",IF($H48&gt;=75,"Khá (B+)",IF($H48&gt;=70,"Khá (B)",IF($H48&gt;=65,"Khá (B-)",IF($H48&gt;=60,"Trung bình (C+)",IF($H48&gt;=55,"Trung bình (C)",IF($H48&gt;=50,"Yếu (D)","Không đạt (F)"))))))))))</f>
        <v/>
      </c>
      <c r="J48" s="8">
        <f>IF($H48="","",INDEX(BangTra!$B$2:$D$11,MATCH($H48,BangTra!$A$2:$A$11,1),IF($G48="Đội trưởng",3,IF($G48="Đội phó",2,1))))</f>
        <v/>
      </c>
      <c r="K48" s="10" t="inlineStr"/>
      <c r="L48" s="10" t="inlineStr"/>
      <c r="M48" s="10" t="inlineStr">
        <is>
          <t>079200023786</t>
        </is>
      </c>
      <c r="N48" s="10" t="inlineStr">
        <is>
          <t>03/04/2021</t>
        </is>
      </c>
      <c r="O48" s="11" t="inlineStr">
        <is>
          <t>Cục trưởng cục cảnh sát - Quản lý hành chính về trật tự xã hội</t>
        </is>
      </c>
      <c r="P48" s="12" t="inlineStr">
        <is>
          <t>Tp.HCM</t>
        </is>
      </c>
      <c r="Q48" s="11" t="inlineStr">
        <is>
          <t>Số 398/1B, KP1 An Phú Đông, quận 12, Tp.HCM</t>
        </is>
      </c>
      <c r="R48" s="11" t="inlineStr"/>
      <c r="S48" s="11" t="inlineStr">
        <is>
          <t>Cao đẳng Công nghệ kỹ thuật điện, điện tử</t>
        </is>
      </c>
      <c r="T48" s="10" t="inlineStr">
        <is>
          <t>0898489850</t>
        </is>
      </c>
      <c r="U48" s="12" t="inlineStr"/>
      <c r="V48" s="10" t="inlineStr"/>
      <c r="W48" s="10" t="inlineStr"/>
    </row>
    <row r="49">
      <c r="A49" s="6" t="n">
        <v>43</v>
      </c>
      <c r="B49" s="6" t="inlineStr">
        <is>
          <t>K4625</t>
        </is>
      </c>
      <c r="C49" s="7" t="inlineStr">
        <is>
          <t>Đoàn Tuấn Kiệt</t>
        </is>
      </c>
      <c r="D49" s="6" t="inlineStr">
        <is>
          <t>Nam</t>
        </is>
      </c>
      <c r="E49" s="6" t="inlineStr">
        <is>
          <t>26/02/2004</t>
        </is>
      </c>
      <c r="F49" s="6" t="inlineStr">
        <is>
          <t>CÔNG NHÂN</t>
        </is>
      </c>
      <c r="G49" s="6" t="inlineStr">
        <is>
          <t>CN/NV thường</t>
        </is>
      </c>
      <c r="H49" s="8" t="n"/>
      <c r="I49" s="8">
        <f>IF($H49="","",IF($H49&gt;=90,"Xuất sắc (A+)",IF($H49&gt;=85,"Giỏi (A)",IF($H49&gt;=80,"Tốt (A-)",IF($H49&gt;=75,"Khá (B+)",IF($H49&gt;=70,"Khá (B)",IF($H49&gt;=65,"Khá (B-)",IF($H49&gt;=60,"Trung bình (C+)",IF($H49&gt;=55,"Trung bình (C)",IF($H49&gt;=50,"Yếu (D)","Không đạt (F)"))))))))))</f>
        <v/>
      </c>
      <c r="J49" s="8">
        <f>IF($H49="","",INDEX(BangTra!$B$2:$D$11,MATCH($H49,BangTra!$A$2:$A$11,1),IF($G49="Đội trưởng",3,IF($G49="Đội phó",2,1))))</f>
        <v/>
      </c>
      <c r="K49" s="6" t="inlineStr"/>
      <c r="L49" s="6" t="inlineStr"/>
      <c r="M49" s="6" t="inlineStr">
        <is>
          <t>079204009344</t>
        </is>
      </c>
      <c r="N49" s="6" t="inlineStr">
        <is>
          <t>18/09/2022</t>
        </is>
      </c>
      <c r="O49" s="7" t="inlineStr">
        <is>
          <t>Cục trưởng cục cảnh sát - Quản lý hành chính về trật tự xã hội</t>
        </is>
      </c>
      <c r="P49" s="9" t="inlineStr">
        <is>
          <t>Kiên Giang</t>
        </is>
      </c>
      <c r="Q49" s="7" t="inlineStr">
        <is>
          <t>Thạnh Đông, Tân Hiệp, Kiên Giang</t>
        </is>
      </c>
      <c r="R49" s="7" t="inlineStr">
        <is>
          <t>37/3L, tổ 7 Ấp Mỹ Hòa, Trung Chánh, Hóc Môn, TP.HCM</t>
        </is>
      </c>
      <c r="S49" s="7" t="inlineStr">
        <is>
          <t>Cao Đẳng Điện Công Nghiệp</t>
        </is>
      </c>
      <c r="T49" s="6" t="inlineStr">
        <is>
          <t>0703639372</t>
        </is>
      </c>
      <c r="U49" s="9" t="inlineStr"/>
      <c r="V49" s="6" t="inlineStr"/>
      <c r="W49" s="6" t="inlineStr"/>
    </row>
    <row r="50">
      <c r="A50" s="10" t="n">
        <v>44</v>
      </c>
      <c r="B50" s="10" t="inlineStr">
        <is>
          <t>P4540</t>
        </is>
      </c>
      <c r="C50" s="11" t="inlineStr">
        <is>
          <t>Nguyễn Thị Thanh Phượng</t>
        </is>
      </c>
      <c r="D50" s="10" t="inlineStr">
        <is>
          <t>Nữ</t>
        </is>
      </c>
      <c r="E50" s="10" t="inlineStr">
        <is>
          <t>22/06/1982</t>
        </is>
      </c>
      <c r="F50" s="10" t="inlineStr">
        <is>
          <t>NHÂN VIÊN</t>
        </is>
      </c>
      <c r="G50" s="10" t="inlineStr">
        <is>
          <t>CN/NV thường</t>
        </is>
      </c>
      <c r="H50" s="8" t="n"/>
      <c r="I50" s="8">
        <f>IF($H50="","",IF($H50&gt;=90,"Xuất sắc (A+)",IF($H50&gt;=85,"Giỏi (A)",IF($H50&gt;=80,"Tốt (A-)",IF($H50&gt;=75,"Khá (B+)",IF($H50&gt;=70,"Khá (B)",IF($H50&gt;=65,"Khá (B-)",IF($H50&gt;=60,"Trung bình (C+)",IF($H50&gt;=55,"Trung bình (C)",IF($H50&gt;=50,"Yếu (D)","Không đạt (F)"))))))))))</f>
        <v/>
      </c>
      <c r="J50" s="8">
        <f>IF($H50="","",INDEX(BangTra!$B$2:$D$11,MATCH($H50,BangTra!$A$2:$A$11,1),IF($G50="Đội trưởng",3,IF($G50="Đội phó",2,1))))</f>
        <v/>
      </c>
      <c r="K50" s="10" t="inlineStr"/>
      <c r="L50" s="10" t="inlineStr"/>
      <c r="M50" s="10" t="inlineStr">
        <is>
          <t>079182027885</t>
        </is>
      </c>
      <c r="N50" s="10" t="inlineStr">
        <is>
          <t>16/01/2022</t>
        </is>
      </c>
      <c r="O50" s="11" t="inlineStr">
        <is>
          <t>Cục trưởng cục cảnh sát - Quản lý hành chính về trật tự xã hội</t>
        </is>
      </c>
      <c r="P50" s="12" t="inlineStr">
        <is>
          <t>Tp.HCM</t>
        </is>
      </c>
      <c r="Q50" s="11" t="inlineStr">
        <is>
          <t>Số 19/1C Đường 49 Hiệp Bình Chánh, Tp Thủ Đức</t>
        </is>
      </c>
      <c r="R50" s="11" t="inlineStr"/>
      <c r="S50" s="11" t="inlineStr">
        <is>
          <t>Kỹ sư Điện - Điện tử</t>
        </is>
      </c>
      <c r="T50" s="10" t="inlineStr">
        <is>
          <t>0932168411</t>
        </is>
      </c>
      <c r="U50" s="12" t="inlineStr"/>
      <c r="V50" s="10" t="inlineStr"/>
      <c r="W50" s="10" t="inlineStr"/>
    </row>
    <row r="51">
      <c r="A51" s="6" t="n">
        <v>45</v>
      </c>
      <c r="B51" s="6" t="inlineStr">
        <is>
          <t>H1575</t>
        </is>
      </c>
      <c r="C51" s="7" t="inlineStr">
        <is>
          <t>Đặng Tuấn Hải</t>
        </is>
      </c>
      <c r="D51" s="6" t="inlineStr">
        <is>
          <t>Nam</t>
        </is>
      </c>
      <c r="E51" s="6" t="inlineStr">
        <is>
          <t>18/05/1980</t>
        </is>
      </c>
      <c r="F51" s="6" t="inlineStr">
        <is>
          <t>Kỹ sư</t>
        </is>
      </c>
      <c r="G51" s="6" t="inlineStr">
        <is>
          <t>CN/NV thường</t>
        </is>
      </c>
      <c r="H51" s="8" t="n"/>
      <c r="I51" s="8">
        <f>IF($H51="","",IF($H51&gt;=90,"Xuất sắc (A+)",IF($H51&gt;=85,"Giỏi (A)",IF($H51&gt;=80,"Tốt (A-)",IF($H51&gt;=75,"Khá (B+)",IF($H51&gt;=70,"Khá (B)",IF($H51&gt;=65,"Khá (B-)",IF($H51&gt;=60,"Trung bình (C+)",IF($H51&gt;=55,"Trung bình (C)",IF($H51&gt;=50,"Yếu (D)","Không đạt (F)"))))))))))</f>
        <v/>
      </c>
      <c r="J51" s="8">
        <f>IF($H51="","",INDEX(BangTra!$B$2:$D$11,MATCH($H51,BangTra!$A$2:$A$11,1),IF($G51="Đội trưởng",3,IF($G51="Đội phó",2,1))))</f>
        <v/>
      </c>
      <c r="K51" s="6" t="inlineStr"/>
      <c r="L51" s="6" t="inlineStr"/>
      <c r="M51" s="6" t="inlineStr">
        <is>
          <t>023492176</t>
        </is>
      </c>
      <c r="N51" s="6" t="inlineStr"/>
      <c r="O51" s="7" t="inlineStr"/>
      <c r="P51" s="9" t="inlineStr"/>
      <c r="Q51" s="7" t="inlineStr">
        <is>
          <t>Số E8/153H Thế Lữ, Xã Tân Nhựt, Huyện Bình Chánh, Tp.HCM</t>
        </is>
      </c>
      <c r="R51" s="7" t="inlineStr"/>
      <c r="S51" s="7" t="inlineStr">
        <is>
          <t>Kỹ sư</t>
        </is>
      </c>
      <c r="T51" s="6" t="inlineStr">
        <is>
          <t>0982328212</t>
        </is>
      </c>
      <c r="U51" s="9" t="inlineStr"/>
      <c r="V51" s="6" t="inlineStr">
        <is>
          <t>DN4797908031855</t>
        </is>
      </c>
      <c r="W51" s="6" t="inlineStr"/>
    </row>
  </sheetData>
  <autoFilter ref="A6:W51"/>
  <mergeCells count="4">
    <mergeCell ref="A1:C1"/>
    <mergeCell ref="D4:W4"/>
    <mergeCell ref="D3:W3"/>
    <mergeCell ref="A2:C2"/>
  </mergeCells>
  <dataValidations count="2">
    <dataValidation sqref="G7:G51" showDropDown="0" showInputMessage="0" showErrorMessage="0" allowBlank="1" type="list">
      <formula1>"CN/NV thường,Đội phó,Đội trưởng"</formula1>
    </dataValidation>
    <dataValidation sqref="H7:H51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MinDiem</t>
        </is>
      </c>
      <c r="B1" t="inlineStr">
        <is>
          <t>CN/NV thường</t>
        </is>
      </c>
      <c r="C1" t="inlineStr">
        <is>
          <t>Đội phó</t>
        </is>
      </c>
      <c r="D1" t="inlineStr">
        <is>
          <t>Đội trưởng</t>
        </is>
      </c>
    </row>
    <row r="2">
      <c r="A2" t="n">
        <v>0</v>
      </c>
      <c r="B2" t="n">
        <v>1.3</v>
      </c>
      <c r="C2" t="n">
        <v>1.3</v>
      </c>
      <c r="D2" t="n">
        <v>1.3</v>
      </c>
    </row>
    <row r="3">
      <c r="A3" t="n">
        <v>50</v>
      </c>
      <c r="B3" t="n">
        <v>1.6</v>
      </c>
      <c r="C3" t="n">
        <v>1.9</v>
      </c>
      <c r="D3" t="n">
        <v>2.2</v>
      </c>
    </row>
    <row r="4">
      <c r="A4" t="n">
        <v>55</v>
      </c>
      <c r="B4" t="n">
        <v>1.9</v>
      </c>
      <c r="C4" t="n">
        <v>2.2</v>
      </c>
      <c r="D4" t="n">
        <v>2.5</v>
      </c>
    </row>
    <row r="5">
      <c r="A5" t="n">
        <v>60</v>
      </c>
      <c r="B5" t="n">
        <v>2.2</v>
      </c>
      <c r="C5" t="n">
        <v>2.5</v>
      </c>
      <c r="D5" t="n">
        <v>2.8</v>
      </c>
    </row>
    <row r="6">
      <c r="A6" t="n">
        <v>65</v>
      </c>
      <c r="B6" t="n">
        <v>2.5</v>
      </c>
      <c r="C6" t="n">
        <v>2.8</v>
      </c>
      <c r="D6" t="n">
        <v>3.1</v>
      </c>
    </row>
    <row r="7">
      <c r="A7" t="n">
        <v>70</v>
      </c>
      <c r="B7" t="n">
        <v>2.8</v>
      </c>
      <c r="C7" t="n">
        <v>3.1</v>
      </c>
      <c r="D7" t="n">
        <v>3.4</v>
      </c>
    </row>
    <row r="8">
      <c r="A8" t="n">
        <v>75</v>
      </c>
      <c r="B8" t="n">
        <v>3.1</v>
      </c>
      <c r="C8" t="n">
        <v>3.4</v>
      </c>
      <c r="D8" t="n">
        <v>3.7</v>
      </c>
    </row>
    <row r="9">
      <c r="A9" t="n">
        <v>80</v>
      </c>
      <c r="B9" t="n">
        <v>3.4</v>
      </c>
      <c r="C9" t="n">
        <v>3.7</v>
      </c>
      <c r="D9" t="n">
        <v>4</v>
      </c>
    </row>
    <row r="10">
      <c r="A10" t="n">
        <v>85</v>
      </c>
      <c r="B10" t="n">
        <v>3.7</v>
      </c>
      <c r="C10" t="n">
        <v>4</v>
      </c>
      <c r="D10" t="n">
        <v>4.3</v>
      </c>
    </row>
    <row r="11">
      <c r="A11" t="n">
        <v>90</v>
      </c>
      <c r="B11" t="n">
        <v>4</v>
      </c>
      <c r="C11" t="n">
        <v>4.3</v>
      </c>
      <c r="D11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2026-06-10T07:24:03Z</dcterms:created>
  <dcterms:modified xmlns:dcterms="http://purl.org/dc/terms/" xmlns:xsi="http://www.w3.org/2001/XMLSchema-instance" xsi:type="dcterms:W3CDTF">2026-06-10T07:24:03Z</dcterms:modified>
</cp:coreProperties>
</file>